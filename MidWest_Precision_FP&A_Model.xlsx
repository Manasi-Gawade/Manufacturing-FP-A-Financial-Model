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nasigawade/Downloads/"/>
    </mc:Choice>
  </mc:AlternateContent>
  <xr:revisionPtr revIDLastSave="0" documentId="13_ncr:1_{8674D524-861E-F046-8038-9FBB6FF44A22}" xr6:coauthVersionLast="47" xr6:coauthVersionMax="47" xr10:uidLastSave="{00000000-0000-0000-0000-000000000000}"/>
  <bookViews>
    <workbookView xWindow="0" yWindow="660" windowWidth="29400" windowHeight="18460" firstSheet="11" activeTab="19" xr2:uid="{00000000-000D-0000-FFFF-FFFF00000000}"/>
  </bookViews>
  <sheets>
    <sheet name="Cover" sheetId="1" r:id="rId1"/>
    <sheet name="Dashboard" sheetId="23" r:id="rId2"/>
    <sheet name="Control Panel" sheetId="2" r:id="rId3"/>
    <sheet name="Historical_Actuals" sheetId="3" r:id="rId4"/>
    <sheet name="Assumptions" sheetId="4" r:id="rId5"/>
    <sheet name="FX_Assumptions" sheetId="5" r:id="rId6"/>
    <sheet name="Revenue_Model" sheetId="6" r:id="rId7"/>
    <sheet name="Production_Model" sheetId="7" r:id="rId8"/>
    <sheet name="Sourcing_Model" sheetId="8" r:id="rId9"/>
    <sheet name="Direct_Labor" sheetId="9" r:id="rId10"/>
    <sheet name="Manufacturing_OH" sheetId="10" r:id="rId11"/>
    <sheet name="Headcount" sheetId="12" r:id="rId12"/>
    <sheet name="OpEx" sheetId="11" r:id="rId13"/>
    <sheet name="CapEx" sheetId="13" r:id="rId14"/>
    <sheet name="Working_Capital" sheetId="14" r:id="rId15"/>
    <sheet name="P&amp;L" sheetId="15" r:id="rId16"/>
    <sheet name="Cash_Flow" sheetId="16" r:id="rId17"/>
    <sheet name="Budget_vs_Actual" sheetId="17" r:id="rId18"/>
    <sheet name="Forecast" sheetId="18" r:id="rId19"/>
    <sheet name="Scenario_Analysis" sheetId="19" r:id="rId20"/>
    <sheet name="Variance_Drivers" sheetId="20" r:id="rId21"/>
    <sheet name="Management_Dashboard" sheetId="21" r:id="rId22"/>
    <sheet name="Checks" sheetId="22" r:id="rId23"/>
  </sheets>
  <externalReferences>
    <externalReference r:id="rId24"/>
  </externalReferences>
  <calcPr calcId="191029" iterateDelta="1E-4"/>
  <pivotCaches>
    <pivotCache cacheId="0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21" l="1"/>
  <c r="A7" i="20"/>
  <c r="A6" i="20"/>
  <c r="A5" i="20"/>
  <c r="B9" i="19"/>
  <c r="F7" i="19"/>
  <c r="F6" i="19"/>
  <c r="F5" i="19"/>
  <c r="C17" i="16"/>
  <c r="D17" i="16"/>
  <c r="E17" i="16"/>
  <c r="F17" i="16"/>
  <c r="B17" i="16"/>
  <c r="B8" i="16"/>
  <c r="C12" i="14"/>
  <c r="D12" i="14"/>
  <c r="E12" i="14"/>
  <c r="F12" i="14"/>
  <c r="C13" i="14"/>
  <c r="D13" i="14"/>
  <c r="E13" i="14"/>
  <c r="F13" i="14"/>
  <c r="C14" i="14"/>
  <c r="D14" i="14"/>
  <c r="E14" i="14"/>
  <c r="F14" i="14"/>
  <c r="B13" i="14"/>
  <c r="B14" i="14"/>
  <c r="B12" i="14"/>
  <c r="B15" i="14" s="1"/>
  <c r="B14" i="21" s="1"/>
  <c r="K10" i="8"/>
  <c r="K11" i="8"/>
  <c r="K9" i="8"/>
  <c r="M10" i="8"/>
  <c r="L10" i="8"/>
  <c r="L11" i="8"/>
  <c r="L9" i="8"/>
  <c r="B26" i="13"/>
  <c r="B27" i="13"/>
  <c r="B28" i="13"/>
  <c r="B29" i="13"/>
  <c r="B25" i="13"/>
  <c r="B30" i="13" s="1"/>
  <c r="D8" i="13"/>
  <c r="E8" i="13"/>
  <c r="F8" i="13"/>
  <c r="C8" i="13"/>
  <c r="B10" i="13"/>
  <c r="J5" i="6"/>
  <c r="P5" i="6" s="1"/>
  <c r="I5" i="6"/>
  <c r="L5" i="6" s="1"/>
  <c r="O5" i="6" s="1"/>
  <c r="J6" i="6"/>
  <c r="J7" i="6"/>
  <c r="F6" i="6"/>
  <c r="F7" i="6"/>
  <c r="F5" i="6"/>
  <c r="E5" i="6"/>
  <c r="I6" i="6"/>
  <c r="L6" i="6" s="1"/>
  <c r="I7" i="6"/>
  <c r="L7" i="6" s="1"/>
  <c r="G6" i="6"/>
  <c r="G7" i="6"/>
  <c r="M7" i="6" s="1"/>
  <c r="G5" i="6"/>
  <c r="M5" i="6" s="1"/>
  <c r="C8" i="6"/>
  <c r="C17" i="3" s="1"/>
  <c r="B12" i="11"/>
  <c r="B9" i="15" s="1"/>
  <c r="K7" i="12"/>
  <c r="K8" i="12"/>
  <c r="K9" i="12"/>
  <c r="K10" i="12"/>
  <c r="K11" i="12"/>
  <c r="K6" i="12"/>
  <c r="H7" i="12"/>
  <c r="M7" i="12" s="1"/>
  <c r="H8" i="12"/>
  <c r="M8" i="12" s="1"/>
  <c r="H9" i="12"/>
  <c r="L9" i="12" s="1"/>
  <c r="H10" i="12"/>
  <c r="L10" i="12" s="1"/>
  <c r="H11" i="12"/>
  <c r="L11" i="12" s="1"/>
  <c r="H6" i="12"/>
  <c r="I6" i="12" s="1"/>
  <c r="F12" i="12"/>
  <c r="C12" i="12"/>
  <c r="D12" i="12"/>
  <c r="E12" i="12"/>
  <c r="G12" i="12"/>
  <c r="B12" i="12"/>
  <c r="C19" i="3" s="1"/>
  <c r="E8" i="10"/>
  <c r="F8" i="10" s="1"/>
  <c r="G8" i="10" s="1"/>
  <c r="D8" i="10"/>
  <c r="E7" i="10"/>
  <c r="F7" i="10" s="1"/>
  <c r="G7" i="10" s="1"/>
  <c r="D7" i="10"/>
  <c r="C10" i="10"/>
  <c r="B26" i="15" s="1"/>
  <c r="K6" i="9"/>
  <c r="N6" i="9" s="1"/>
  <c r="P6" i="9" s="1"/>
  <c r="K5" i="9"/>
  <c r="N5" i="9" s="1"/>
  <c r="P5" i="9" s="1"/>
  <c r="K7" i="9"/>
  <c r="N7" i="9" s="1"/>
  <c r="P7" i="9" s="1"/>
  <c r="U11" i="8"/>
  <c r="U10" i="8"/>
  <c r="U9" i="8"/>
  <c r="Q11" i="8"/>
  <c r="Q10" i="8"/>
  <c r="Q9" i="8"/>
  <c r="B4" i="8"/>
  <c r="I11" i="8"/>
  <c r="I10" i="8"/>
  <c r="H10" i="8"/>
  <c r="P10" i="8" s="1"/>
  <c r="T10" i="8" s="1"/>
  <c r="H11" i="8"/>
  <c r="P11" i="8" s="1"/>
  <c r="T11" i="8" s="1"/>
  <c r="H9" i="8"/>
  <c r="P9" i="8" s="1"/>
  <c r="T9" i="8" s="1"/>
  <c r="G10" i="8"/>
  <c r="O10" i="8" s="1"/>
  <c r="G11" i="8"/>
  <c r="O11" i="8" s="1"/>
  <c r="G9" i="8"/>
  <c r="O9" i="8" s="1"/>
  <c r="F11" i="8"/>
  <c r="F10" i="8"/>
  <c r="F9" i="8"/>
  <c r="G5" i="7"/>
  <c r="G6" i="7"/>
  <c r="G6" i="9" s="1"/>
  <c r="G7" i="7"/>
  <c r="H7" i="7" s="1"/>
  <c r="H7" i="9" s="1"/>
  <c r="D6" i="7"/>
  <c r="E6" i="7" s="1"/>
  <c r="F6" i="7" s="1"/>
  <c r="B6" i="9" s="1"/>
  <c r="D6" i="9" s="1"/>
  <c r="F6" i="9" s="1"/>
  <c r="D7" i="7"/>
  <c r="E7" i="7" s="1"/>
  <c r="F7" i="7" s="1"/>
  <c r="B7" i="9" s="1"/>
  <c r="D7" i="9" s="1"/>
  <c r="F7" i="9" s="1"/>
  <c r="D5" i="7"/>
  <c r="E5" i="7" s="1"/>
  <c r="F5" i="7" s="1"/>
  <c r="B5" i="9" s="1"/>
  <c r="D5" i="9" s="1"/>
  <c r="E6" i="6"/>
  <c r="E7" i="6"/>
  <c r="C26" i="13" l="1"/>
  <c r="D26" i="13"/>
  <c r="E26" i="13" s="1"/>
  <c r="F26" i="13" s="1"/>
  <c r="D28" i="13"/>
  <c r="E28" i="13" s="1"/>
  <c r="F28" i="13" s="1"/>
  <c r="C28" i="13"/>
  <c r="D29" i="13"/>
  <c r="E29" i="13" s="1"/>
  <c r="F29" i="13" s="1"/>
  <c r="C29" i="13"/>
  <c r="B7" i="16"/>
  <c r="B14" i="15"/>
  <c r="B9" i="22"/>
  <c r="C20" i="3"/>
  <c r="B15" i="13"/>
  <c r="B12" i="16"/>
  <c r="B13" i="16" s="1"/>
  <c r="F8" i="11"/>
  <c r="F10" i="11"/>
  <c r="C7" i="13"/>
  <c r="C27" i="13" s="1"/>
  <c r="C8" i="11"/>
  <c r="C10" i="11"/>
  <c r="D10" i="11"/>
  <c r="D8" i="11"/>
  <c r="D7" i="13"/>
  <c r="E10" i="11"/>
  <c r="E8" i="11"/>
  <c r="N11" i="8"/>
  <c r="N9" i="8"/>
  <c r="N12" i="8" s="1"/>
  <c r="D25" i="15" s="1"/>
  <c r="N10" i="8"/>
  <c r="F15" i="14"/>
  <c r="F14" i="21" s="1"/>
  <c r="E15" i="14"/>
  <c r="E14" i="21" s="1"/>
  <c r="L7" i="9"/>
  <c r="M9" i="12"/>
  <c r="G7" i="9"/>
  <c r="M11" i="12"/>
  <c r="C15" i="14"/>
  <c r="C14" i="21" s="1"/>
  <c r="M10" i="12"/>
  <c r="D15" i="14"/>
  <c r="D14" i="21" s="1"/>
  <c r="D7" i="20"/>
  <c r="I8" i="12"/>
  <c r="N8" i="12" s="1"/>
  <c r="G8" i="7"/>
  <c r="D14" i="10" s="1"/>
  <c r="D15" i="10" s="1"/>
  <c r="D6" i="20"/>
  <c r="I7" i="12"/>
  <c r="H6" i="7"/>
  <c r="F8" i="7"/>
  <c r="M7" i="9"/>
  <c r="I8" i="6"/>
  <c r="K6" i="6"/>
  <c r="E6" i="20" s="1"/>
  <c r="I9" i="12"/>
  <c r="H5" i="6"/>
  <c r="M6" i="9"/>
  <c r="L8" i="6"/>
  <c r="P7" i="6"/>
  <c r="C5" i="20"/>
  <c r="Q5" i="6"/>
  <c r="C7" i="20"/>
  <c r="C6" i="20"/>
  <c r="D5" i="20"/>
  <c r="P6" i="6"/>
  <c r="F8" i="6"/>
  <c r="D11" i="19"/>
  <c r="B18" i="8"/>
  <c r="R10" i="8"/>
  <c r="S10" i="8"/>
  <c r="V10" i="8" s="1"/>
  <c r="J10" i="8"/>
  <c r="R9" i="8"/>
  <c r="S9" i="8"/>
  <c r="V9" i="8" s="1"/>
  <c r="N7" i="6"/>
  <c r="O7" i="6"/>
  <c r="F5" i="9"/>
  <c r="F8" i="9" s="1"/>
  <c r="B24" i="15" s="1"/>
  <c r="D8" i="9"/>
  <c r="S11" i="8"/>
  <c r="V11" i="8" s="1"/>
  <c r="R11" i="8"/>
  <c r="D18" i="8" s="1"/>
  <c r="O6" i="6"/>
  <c r="N6" i="12"/>
  <c r="J6" i="12"/>
  <c r="O6" i="12" s="1"/>
  <c r="I7" i="7"/>
  <c r="J9" i="8"/>
  <c r="H6" i="6"/>
  <c r="B6" i="20" s="1"/>
  <c r="H5" i="7"/>
  <c r="G5" i="9"/>
  <c r="M5" i="9" s="1"/>
  <c r="J11" i="8"/>
  <c r="C18" i="8" s="1"/>
  <c r="I11" i="12"/>
  <c r="L8" i="12"/>
  <c r="K5" i="6"/>
  <c r="I10" i="12"/>
  <c r="J8" i="12"/>
  <c r="O8" i="12" s="1"/>
  <c r="L7" i="12"/>
  <c r="K7" i="6"/>
  <c r="E7" i="20" s="1"/>
  <c r="N5" i="6"/>
  <c r="L6" i="12"/>
  <c r="F12" i="8"/>
  <c r="B25" i="15" s="1"/>
  <c r="M6" i="12"/>
  <c r="M6" i="6"/>
  <c r="N6" i="6" s="1"/>
  <c r="H7" i="6"/>
  <c r="B7" i="20" s="1"/>
  <c r="E8" i="6"/>
  <c r="H12" i="12"/>
  <c r="K12" i="12"/>
  <c r="B10" i="15" s="1"/>
  <c r="B11" i="15" s="1"/>
  <c r="C9" i="3" s="1"/>
  <c r="E7" i="13" l="1"/>
  <c r="F7" i="13" s="1"/>
  <c r="D27" i="13"/>
  <c r="E27" i="13" s="1"/>
  <c r="F27" i="13" s="1"/>
  <c r="B27" i="15"/>
  <c r="C6" i="22"/>
  <c r="C18" i="13"/>
  <c r="D6" i="10"/>
  <c r="C18" i="3"/>
  <c r="C5" i="11"/>
  <c r="C9" i="11"/>
  <c r="C11" i="11"/>
  <c r="D5" i="10"/>
  <c r="C7" i="11"/>
  <c r="Q7" i="6"/>
  <c r="B5" i="20"/>
  <c r="B8" i="20" s="1"/>
  <c r="M12" i="12"/>
  <c r="D10" i="15" s="1"/>
  <c r="C6" i="11"/>
  <c r="M8" i="9"/>
  <c r="C24" i="15" s="1"/>
  <c r="D9" i="10"/>
  <c r="I12" i="12"/>
  <c r="D8" i="20"/>
  <c r="Q6" i="6"/>
  <c r="Q8" i="6" s="1"/>
  <c r="C14" i="10"/>
  <c r="C15" i="10" s="1"/>
  <c r="B17" i="13"/>
  <c r="I6" i="7"/>
  <c r="H6" i="9"/>
  <c r="L6" i="9" s="1"/>
  <c r="N7" i="12"/>
  <c r="J7" i="12"/>
  <c r="O7" i="12" s="1"/>
  <c r="C17" i="13"/>
  <c r="C5" i="13"/>
  <c r="J9" i="12"/>
  <c r="O9" i="12" s="1"/>
  <c r="N9" i="12"/>
  <c r="L12" i="12"/>
  <c r="C10" i="15" s="1"/>
  <c r="O8" i="6"/>
  <c r="E9" i="11"/>
  <c r="E11" i="11"/>
  <c r="E5" i="11"/>
  <c r="N8" i="6"/>
  <c r="E6" i="11"/>
  <c r="E7" i="11"/>
  <c r="B5" i="15"/>
  <c r="B16" i="13"/>
  <c r="H8" i="6"/>
  <c r="F9" i="11"/>
  <c r="F11" i="11"/>
  <c r="F6" i="11"/>
  <c r="F7" i="11"/>
  <c r="F5" i="11"/>
  <c r="D6" i="11"/>
  <c r="D5" i="11"/>
  <c r="D11" i="11"/>
  <c r="D9" i="11"/>
  <c r="D7" i="11"/>
  <c r="K8" i="6"/>
  <c r="E5" i="20"/>
  <c r="E8" i="20" s="1"/>
  <c r="D10" i="20" s="1"/>
  <c r="C8" i="20"/>
  <c r="E18" i="8"/>
  <c r="J7" i="7"/>
  <c r="J7" i="9" s="1"/>
  <c r="Q7" i="9" s="1"/>
  <c r="I7" i="9"/>
  <c r="O7" i="9" s="1"/>
  <c r="J11" i="12"/>
  <c r="O11" i="12" s="1"/>
  <c r="N11" i="12"/>
  <c r="B20" i="8"/>
  <c r="B21" i="8"/>
  <c r="B17" i="8"/>
  <c r="B19" i="8" s="1"/>
  <c r="B15" i="21" s="1"/>
  <c r="C21" i="8"/>
  <c r="H8" i="7"/>
  <c r="H5" i="9"/>
  <c r="I5" i="7"/>
  <c r="N10" i="12"/>
  <c r="J10" i="12"/>
  <c r="O10" i="12" s="1"/>
  <c r="J12" i="8"/>
  <c r="V12" i="8"/>
  <c r="R12" i="8"/>
  <c r="E25" i="15" s="1"/>
  <c r="D10" i="10" l="1"/>
  <c r="C26" i="15" s="1"/>
  <c r="C5" i="3"/>
  <c r="B7" i="21"/>
  <c r="C21" i="3"/>
  <c r="B12" i="21"/>
  <c r="E17" i="8"/>
  <c r="E19" i="8" s="1"/>
  <c r="F15" i="21" s="1"/>
  <c r="F25" i="15"/>
  <c r="C13" i="21"/>
  <c r="C19" i="13"/>
  <c r="C12" i="11"/>
  <c r="C9" i="15" s="1"/>
  <c r="C11" i="15" s="1"/>
  <c r="B9" i="17" s="1"/>
  <c r="B18" i="13"/>
  <c r="B6" i="22"/>
  <c r="B10" i="22"/>
  <c r="G10" i="22" s="1"/>
  <c r="B10" i="20"/>
  <c r="O12" i="12"/>
  <c r="F10" i="15" s="1"/>
  <c r="J12" i="12"/>
  <c r="N12" i="12"/>
  <c r="E10" i="15" s="1"/>
  <c r="J6" i="7"/>
  <c r="J6" i="9" s="1"/>
  <c r="Q6" i="9" s="1"/>
  <c r="I6" i="9"/>
  <c r="O6" i="9" s="1"/>
  <c r="D5" i="13"/>
  <c r="D17" i="13"/>
  <c r="C25" i="13"/>
  <c r="C30" i="13" s="1"/>
  <c r="C9" i="22" s="1"/>
  <c r="C10" i="13"/>
  <c r="C16" i="13" s="1"/>
  <c r="C12" i="21" s="1"/>
  <c r="B6" i="15"/>
  <c r="B5" i="14"/>
  <c r="D6" i="19"/>
  <c r="E6" i="19" s="1"/>
  <c r="B5" i="18"/>
  <c r="D7" i="19"/>
  <c r="D5" i="19"/>
  <c r="E5" i="19" s="1"/>
  <c r="E5" i="15"/>
  <c r="E7" i="21" s="1"/>
  <c r="D5" i="15"/>
  <c r="D7" i="21" s="1"/>
  <c r="E12" i="11"/>
  <c r="E9" i="15" s="1"/>
  <c r="D12" i="11"/>
  <c r="D9" i="15" s="1"/>
  <c r="D11" i="15" s="1"/>
  <c r="C9" i="17" s="1"/>
  <c r="C5" i="15"/>
  <c r="C7" i="21" s="1"/>
  <c r="E10" i="20"/>
  <c r="F5" i="15"/>
  <c r="F7" i="21" s="1"/>
  <c r="F12" i="11"/>
  <c r="F9" i="15" s="1"/>
  <c r="C17" i="8"/>
  <c r="C20" i="8" s="1"/>
  <c r="C25" i="15"/>
  <c r="L5" i="9"/>
  <c r="L8" i="9" s="1"/>
  <c r="D24" i="15" s="1"/>
  <c r="H8" i="9"/>
  <c r="D17" i="8"/>
  <c r="D19" i="8" s="1"/>
  <c r="E15" i="21" s="1"/>
  <c r="D20" i="8"/>
  <c r="E14" i="10"/>
  <c r="E15" i="10" s="1"/>
  <c r="E6" i="10"/>
  <c r="E5" i="10"/>
  <c r="E9" i="10"/>
  <c r="E21" i="8"/>
  <c r="D21" i="8"/>
  <c r="C19" i="8"/>
  <c r="I8" i="7"/>
  <c r="I5" i="9"/>
  <c r="O5" i="9" s="1"/>
  <c r="J5" i="7"/>
  <c r="E20" i="8"/>
  <c r="F11" i="15" l="1"/>
  <c r="C27" i="15"/>
  <c r="D9" i="17"/>
  <c r="D15" i="21"/>
  <c r="C15" i="21"/>
  <c r="B13" i="21"/>
  <c r="C22" i="3"/>
  <c r="B19" i="13"/>
  <c r="F9" i="10"/>
  <c r="B7" i="15"/>
  <c r="C6" i="3"/>
  <c r="D18" i="13"/>
  <c r="D6" i="22"/>
  <c r="E11" i="15"/>
  <c r="O8" i="9"/>
  <c r="E24" i="15" s="1"/>
  <c r="D25" i="13"/>
  <c r="E5" i="13"/>
  <c r="D10" i="13"/>
  <c r="C15" i="13"/>
  <c r="C12" i="16"/>
  <c r="C13" i="16" s="1"/>
  <c r="F6" i="10"/>
  <c r="C7" i="16"/>
  <c r="C14" i="15"/>
  <c r="F14" i="10"/>
  <c r="F15" i="10" s="1"/>
  <c r="E17" i="13"/>
  <c r="E7" i="19"/>
  <c r="B11" i="19"/>
  <c r="C6" i="15"/>
  <c r="B5" i="17"/>
  <c r="C7" i="15"/>
  <c r="C5" i="14"/>
  <c r="C5" i="17"/>
  <c r="D5" i="14"/>
  <c r="D6" i="15"/>
  <c r="C5" i="18"/>
  <c r="C6" i="18" s="1"/>
  <c r="E5" i="18"/>
  <c r="F5" i="14"/>
  <c r="F6" i="15"/>
  <c r="F7" i="15" s="1"/>
  <c r="D5" i="18"/>
  <c r="E5" i="14"/>
  <c r="E6" i="15"/>
  <c r="E7" i="15" s="1"/>
  <c r="B28" i="15"/>
  <c r="B11" i="22" s="1"/>
  <c r="B7" i="14"/>
  <c r="B6" i="14"/>
  <c r="J8" i="7"/>
  <c r="J5" i="9"/>
  <c r="Q5" i="9" s="1"/>
  <c r="Q8" i="9" s="1"/>
  <c r="F24" i="15" s="1"/>
  <c r="F5" i="10"/>
  <c r="E10" i="10"/>
  <c r="D26" i="15" s="1"/>
  <c r="D27" i="15" s="1"/>
  <c r="F9" i="17" l="1"/>
  <c r="E9" i="17"/>
  <c r="C7" i="3"/>
  <c r="B8" i="15"/>
  <c r="B12" i="15"/>
  <c r="D13" i="21"/>
  <c r="D19" i="13"/>
  <c r="E18" i="13"/>
  <c r="E6" i="22"/>
  <c r="B7" i="18"/>
  <c r="C8" i="3"/>
  <c r="B5" i="22"/>
  <c r="B8" i="21"/>
  <c r="B8" i="14"/>
  <c r="B7" i="22"/>
  <c r="G6" i="10"/>
  <c r="D5" i="17"/>
  <c r="E5" i="17" s="1"/>
  <c r="G14" i="10"/>
  <c r="G15" i="10" s="1"/>
  <c r="F17" i="13"/>
  <c r="D15" i="13"/>
  <c r="D12" i="16"/>
  <c r="D13" i="16" s="1"/>
  <c r="D16" i="13"/>
  <c r="D12" i="21" s="1"/>
  <c r="F5" i="13"/>
  <c r="F10" i="13" s="1"/>
  <c r="E10" i="13"/>
  <c r="D30" i="13"/>
  <c r="D9" i="22" s="1"/>
  <c r="E25" i="13"/>
  <c r="D6" i="18"/>
  <c r="C6" i="17"/>
  <c r="D6" i="14"/>
  <c r="D7" i="14"/>
  <c r="D28" i="15"/>
  <c r="D11" i="22" s="1"/>
  <c r="E12" i="15"/>
  <c r="E8" i="15"/>
  <c r="F8" i="15"/>
  <c r="F12" i="15"/>
  <c r="F7" i="14"/>
  <c r="F6" i="14"/>
  <c r="F7" i="22" s="1"/>
  <c r="C12" i="15"/>
  <c r="B7" i="17"/>
  <c r="C8" i="15"/>
  <c r="C11" i="19"/>
  <c r="E6" i="18"/>
  <c r="E6" i="14"/>
  <c r="E7" i="22" s="1"/>
  <c r="E7" i="14"/>
  <c r="D7" i="15"/>
  <c r="B6" i="17"/>
  <c r="C6" i="14"/>
  <c r="C28" i="15"/>
  <c r="C11" i="22" s="1"/>
  <c r="C7" i="14"/>
  <c r="G5" i="10"/>
  <c r="F10" i="10"/>
  <c r="E26" i="15" s="1"/>
  <c r="E27" i="15" s="1"/>
  <c r="E28" i="15" s="1"/>
  <c r="E11" i="22" s="1"/>
  <c r="G9" i="10"/>
  <c r="D7" i="22" l="1"/>
  <c r="C7" i="22"/>
  <c r="G7" i="22" s="1"/>
  <c r="C10" i="3"/>
  <c r="B13" i="15"/>
  <c r="B15" i="15"/>
  <c r="E13" i="21"/>
  <c r="E19" i="13"/>
  <c r="F18" i="13"/>
  <c r="F6" i="22"/>
  <c r="G6" i="22" s="1"/>
  <c r="D7" i="18"/>
  <c r="E5" i="22"/>
  <c r="E8" i="21"/>
  <c r="E7" i="18"/>
  <c r="F5" i="22"/>
  <c r="F8" i="21"/>
  <c r="B8" i="17"/>
  <c r="C5" i="22"/>
  <c r="C8" i="21"/>
  <c r="F8" i="14"/>
  <c r="E15" i="13"/>
  <c r="E12" i="16"/>
  <c r="E13" i="16" s="1"/>
  <c r="E16" i="13"/>
  <c r="E12" i="21" s="1"/>
  <c r="F12" i="16"/>
  <c r="F13" i="16" s="1"/>
  <c r="F15" i="13"/>
  <c r="F16" i="13"/>
  <c r="F12" i="21" s="1"/>
  <c r="E8" i="14"/>
  <c r="F5" i="17"/>
  <c r="C8" i="14"/>
  <c r="C9" i="14" s="1"/>
  <c r="C8" i="16" s="1"/>
  <c r="D8" i="14"/>
  <c r="D9" i="14" s="1"/>
  <c r="D8" i="16" s="1"/>
  <c r="F25" i="13"/>
  <c r="F30" i="13" s="1"/>
  <c r="F9" i="22" s="1"/>
  <c r="E30" i="13"/>
  <c r="E9" i="22" s="1"/>
  <c r="G9" i="22" s="1"/>
  <c r="D14" i="15"/>
  <c r="D7" i="16"/>
  <c r="E13" i="15"/>
  <c r="D12" i="15"/>
  <c r="C7" i="17"/>
  <c r="D7" i="17" s="1"/>
  <c r="D8" i="15"/>
  <c r="F13" i="15"/>
  <c r="F9" i="21" s="1"/>
  <c r="D6" i="17"/>
  <c r="C15" i="15"/>
  <c r="C13" i="15"/>
  <c r="B10" i="17"/>
  <c r="G10" i="10"/>
  <c r="F26" i="15" s="1"/>
  <c r="F27" i="15" s="1"/>
  <c r="F28" i="15" s="1"/>
  <c r="F11" i="22" s="1"/>
  <c r="B8" i="18" l="1"/>
  <c r="C11" i="3"/>
  <c r="B9" i="21"/>
  <c r="B16" i="15"/>
  <c r="B9" i="18" s="1"/>
  <c r="B18" i="15"/>
  <c r="F13" i="21"/>
  <c r="F19" i="13"/>
  <c r="E9" i="14"/>
  <c r="E8" i="16" s="1"/>
  <c r="E8" i="18"/>
  <c r="E9" i="21"/>
  <c r="D5" i="22"/>
  <c r="G5" i="22" s="1"/>
  <c r="D8" i="21"/>
  <c r="C8" i="18"/>
  <c r="C9" i="21"/>
  <c r="F9" i="14"/>
  <c r="F8" i="16" s="1"/>
  <c r="G5" i="19"/>
  <c r="H5" i="19" s="1"/>
  <c r="G6" i="19"/>
  <c r="H6" i="19" s="1"/>
  <c r="G7" i="19"/>
  <c r="E14" i="15"/>
  <c r="E15" i="15" s="1"/>
  <c r="E16" i="15" s="1"/>
  <c r="D9" i="18" s="1"/>
  <c r="E7" i="16"/>
  <c r="F14" i="15"/>
  <c r="F15" i="15" s="1"/>
  <c r="F18" i="15" s="1"/>
  <c r="F7" i="16"/>
  <c r="C18" i="15"/>
  <c r="B11" i="17"/>
  <c r="C16" i="15"/>
  <c r="E6" i="17"/>
  <c r="F6" i="17"/>
  <c r="F7" i="17"/>
  <c r="E7" i="17"/>
  <c r="C10" i="17"/>
  <c r="D10" i="17" s="1"/>
  <c r="D15" i="15"/>
  <c r="D13" i="15"/>
  <c r="C7" i="18"/>
  <c r="C8" i="17"/>
  <c r="D8" i="17" s="1"/>
  <c r="C12" i="3" l="1"/>
  <c r="B19" i="15"/>
  <c r="B20" i="15" s="1"/>
  <c r="B21" i="15" s="1"/>
  <c r="D8" i="18"/>
  <c r="D9" i="21"/>
  <c r="C13" i="3"/>
  <c r="B11" i="21"/>
  <c r="E18" i="15"/>
  <c r="E19" i="15" s="1"/>
  <c r="E20" i="15" s="1"/>
  <c r="E11" i="21" s="1"/>
  <c r="F16" i="15"/>
  <c r="E9" i="18" s="1"/>
  <c r="H7" i="19"/>
  <c r="F11" i="19" s="1"/>
  <c r="E11" i="19"/>
  <c r="E8" i="17"/>
  <c r="F8" i="17"/>
  <c r="F10" i="17"/>
  <c r="E10" i="17"/>
  <c r="F19" i="15"/>
  <c r="F20" i="15" s="1"/>
  <c r="F11" i="21" s="1"/>
  <c r="D18" i="15"/>
  <c r="C11" i="17"/>
  <c r="D11" i="17" s="1"/>
  <c r="D16" i="15"/>
  <c r="C9" i="18" s="1"/>
  <c r="C19" i="15"/>
  <c r="C20" i="15" s="1"/>
  <c r="C11" i="21" s="1"/>
  <c r="B11" i="18" l="1"/>
  <c r="B6" i="16"/>
  <c r="B9" i="16" s="1"/>
  <c r="B10" i="18"/>
  <c r="C14" i="3"/>
  <c r="B10" i="21"/>
  <c r="F6" i="16"/>
  <c r="F9" i="16" s="1"/>
  <c r="E11" i="18"/>
  <c r="F21" i="15"/>
  <c r="D11" i="18"/>
  <c r="E6" i="16"/>
  <c r="E9" i="16" s="1"/>
  <c r="E21" i="15"/>
  <c r="C21" i="15"/>
  <c r="C10" i="21" s="1"/>
  <c r="C6" i="16"/>
  <c r="C9" i="16" s="1"/>
  <c r="C19" i="16" s="1"/>
  <c r="B12" i="17"/>
  <c r="D19" i="15"/>
  <c r="D20" i="15" s="1"/>
  <c r="D11" i="21" s="1"/>
  <c r="F11" i="17"/>
  <c r="E11" i="17"/>
  <c r="B19" i="16" l="1"/>
  <c r="B21" i="16" s="1"/>
  <c r="B12" i="18"/>
  <c r="E10" i="18"/>
  <c r="F10" i="21"/>
  <c r="D10" i="18"/>
  <c r="E10" i="21"/>
  <c r="D6" i="16"/>
  <c r="D9" i="16" s="1"/>
  <c r="C12" i="17"/>
  <c r="D12" i="17" s="1"/>
  <c r="D21" i="15"/>
  <c r="C11" i="18"/>
  <c r="E19" i="16"/>
  <c r="D12" i="18"/>
  <c r="F19" i="16"/>
  <c r="E12" i="18"/>
  <c r="B8" i="22" l="1"/>
  <c r="B16" i="21"/>
  <c r="D20" i="16"/>
  <c r="C20" i="16"/>
  <c r="C21" i="16" s="1"/>
  <c r="B13" i="18"/>
  <c r="C10" i="18"/>
  <c r="D10" i="21"/>
  <c r="F12" i="17"/>
  <c r="E12" i="17"/>
  <c r="D19" i="16"/>
  <c r="C12" i="18"/>
  <c r="D21" i="16" l="1"/>
  <c r="C8" i="22"/>
  <c r="C16" i="21"/>
  <c r="D8" i="22" l="1"/>
  <c r="D16" i="21"/>
  <c r="E20" i="16"/>
  <c r="E21" i="16" s="1"/>
  <c r="C13" i="18"/>
  <c r="E8" i="22" l="1"/>
  <c r="E16" i="21"/>
  <c r="F20" i="16"/>
  <c r="F21" i="16" s="1"/>
  <c r="D13" i="18"/>
  <c r="E13" i="18" l="1"/>
  <c r="F8" i="22"/>
  <c r="G8" i="22" s="1"/>
  <c r="F16" i="21"/>
</calcChain>
</file>

<file path=xl/sharedStrings.xml><?xml version="1.0" encoding="utf-8"?>
<sst xmlns="http://schemas.openxmlformats.org/spreadsheetml/2006/main" count="506" uniqueCount="331">
  <si>
    <t>MidWest Precision Components, Inc.</t>
  </si>
  <si>
    <t>FP&amp;A Control Panel</t>
  </si>
  <si>
    <t>Selected Scenario</t>
  </si>
  <si>
    <t>Reporting Currency</t>
  </si>
  <si>
    <t>USD</t>
  </si>
  <si>
    <t>Historical Year</t>
  </si>
  <si>
    <t>Budget Year</t>
  </si>
  <si>
    <t>Forecast Year</t>
  </si>
  <si>
    <t>Long-Range Plan Year 1</t>
  </si>
  <si>
    <t>Long-Range Plan Year 2</t>
  </si>
  <si>
    <t>Model Version</t>
  </si>
  <si>
    <t>v1.0</t>
  </si>
  <si>
    <t>Driver</t>
  </si>
  <si>
    <t>2025A</t>
  </si>
  <si>
    <t>2026 Budget</t>
  </si>
  <si>
    <t>2026 Forecast</t>
  </si>
  <si>
    <t>2027 Plan</t>
  </si>
  <si>
    <t>2028 Plan</t>
  </si>
  <si>
    <t>Notes</t>
  </si>
  <si>
    <t>Revenue Growth</t>
  </si>
  <si>
    <t>ASP Growth</t>
  </si>
  <si>
    <t>Volume Growth</t>
  </si>
  <si>
    <t>Salary Increase</t>
  </si>
  <si>
    <t>Benefits % Payroll</t>
  </si>
  <si>
    <t>DSO</t>
  </si>
  <si>
    <t>DIO</t>
  </si>
  <si>
    <t>DPO</t>
  </si>
  <si>
    <t>CapEx % Revenue</t>
  </si>
  <si>
    <t>Tax Rate</t>
  </si>
  <si>
    <t>—</t>
  </si>
  <si>
    <t>Gross Margin</t>
  </si>
  <si>
    <t>Scrap / Yield Loss</t>
  </si>
  <si>
    <t>Currency Pair</t>
  </si>
  <si>
    <t>EUR/USD</t>
  </si>
  <si>
    <t>CNY/USD</t>
  </si>
  <si>
    <t>Product</t>
  </si>
  <si>
    <t>2025 Units</t>
  </si>
  <si>
    <t>2025 ASP</t>
  </si>
  <si>
    <t>2025 Revenue</t>
  </si>
  <si>
    <t>2026 Units</t>
  </si>
  <si>
    <t>2026 ASP</t>
  </si>
  <si>
    <t>2026 Revenue</t>
  </si>
  <si>
    <t>2027 Units</t>
  </si>
  <si>
    <t>2027 ASP</t>
  </si>
  <si>
    <t>2027 Revenue</t>
  </si>
  <si>
    <t>2028 Units</t>
  </si>
  <si>
    <t>2028 ASP</t>
  </si>
  <si>
    <t>2028 Revenue</t>
  </si>
  <si>
    <t>Precision Components</t>
  </si>
  <si>
    <t>Industrial Assemblies</t>
  </si>
  <si>
    <t>Automotive Components</t>
  </si>
  <si>
    <t>2025A Units Sold</t>
  </si>
  <si>
    <t>2025A Production Units</t>
  </si>
  <si>
    <t>2026 Budget Production</t>
  </si>
  <si>
    <t>2026 Forecast Production</t>
  </si>
  <si>
    <t>2027 Plan Production</t>
  </si>
  <si>
    <t>2028 Plan Production</t>
  </si>
  <si>
    <t>Production model</t>
  </si>
  <si>
    <t>2025A Scrap%</t>
  </si>
  <si>
    <t>2025A Yield%</t>
  </si>
  <si>
    <t>2025A Production</t>
  </si>
  <si>
    <t>Material</t>
  </si>
  <si>
    <t>Suppiler Region</t>
  </si>
  <si>
    <t>Currency</t>
  </si>
  <si>
    <t>2025A Quantity</t>
  </si>
  <si>
    <t>2025A Unit Cost LC</t>
  </si>
  <si>
    <t>2025A USD Spend</t>
  </si>
  <si>
    <t>2026 Quantity</t>
  </si>
  <si>
    <t>2026 Unit Cost LC</t>
  </si>
  <si>
    <t>2026 FX</t>
  </si>
  <si>
    <t>2026 USD Spend</t>
  </si>
  <si>
    <t>2027 Quantity</t>
  </si>
  <si>
    <t>2027 Unit Cost LC</t>
  </si>
  <si>
    <t>2027 FX</t>
  </si>
  <si>
    <t>2027 USD Spend</t>
  </si>
  <si>
    <t>2028 Quantity</t>
  </si>
  <si>
    <t>2028 Unit Cost LC</t>
  </si>
  <si>
    <t>2028 FX</t>
  </si>
  <si>
    <t>2028 USD Spend</t>
  </si>
  <si>
    <t>Steel &amp; Metals</t>
  </si>
  <si>
    <t>Domestic</t>
  </si>
  <si>
    <t>Electronic Components</t>
  </si>
  <si>
    <t>Europe</t>
  </si>
  <si>
    <t>EUR</t>
  </si>
  <si>
    <t>Specialty Inputs</t>
  </si>
  <si>
    <t>China</t>
  </si>
  <si>
    <t>CNY</t>
  </si>
  <si>
    <t>Total Material Spend</t>
  </si>
  <si>
    <t>International Sourcing exposure</t>
  </si>
  <si>
    <t>Metric</t>
  </si>
  <si>
    <t>International Material Spend</t>
  </si>
  <si>
    <t>EUR exposure</t>
  </si>
  <si>
    <t>International % of Spend</t>
  </si>
  <si>
    <t>CNY exposure</t>
  </si>
  <si>
    <t>2025A Labor Hours</t>
  </si>
  <si>
    <t>2025A Hourly Rate</t>
  </si>
  <si>
    <t>2025A Direct Labor Cost</t>
  </si>
  <si>
    <t>2026 Budget Hours</t>
  </si>
  <si>
    <t>2026 Forecast Hours</t>
  </si>
  <si>
    <t>2027 Plan Hours</t>
  </si>
  <si>
    <t>2028 Plan Hours</t>
  </si>
  <si>
    <t>2026 Hourly Rate</t>
  </si>
  <si>
    <t>2026 Forecast Labor Cost</t>
  </si>
  <si>
    <t>2027 Hourly Rate</t>
  </si>
  <si>
    <t>2027 Labor Cost</t>
  </si>
  <si>
    <t>2028 Hourly Rate</t>
  </si>
  <si>
    <t>2028 Labor Cost</t>
  </si>
  <si>
    <t>TOTAL</t>
  </si>
  <si>
    <t>Cost Category</t>
  </si>
  <si>
    <t>Cost Type</t>
  </si>
  <si>
    <t xml:space="preserve">Driver </t>
  </si>
  <si>
    <t>Factory Utilities</t>
  </si>
  <si>
    <t>Maintenance</t>
  </si>
  <si>
    <t>Indirect Labor</t>
  </si>
  <si>
    <t>Variable</t>
  </si>
  <si>
    <t>Fixed</t>
  </si>
  <si>
    <t>Production</t>
  </si>
  <si>
    <t>Head Count</t>
  </si>
  <si>
    <t>Factory Rent</t>
  </si>
  <si>
    <t>Factory Supplies</t>
  </si>
  <si>
    <t>Contract</t>
  </si>
  <si>
    <t xml:space="preserve">Total Manufacturing overhead </t>
  </si>
  <si>
    <t>Assumed 3% Contractual increase</t>
  </si>
  <si>
    <t>Available production Capacity</t>
  </si>
  <si>
    <t>Planned Prduction</t>
  </si>
  <si>
    <t>Capacity Utilization</t>
  </si>
  <si>
    <t>Department</t>
  </si>
  <si>
    <t>2025A HC</t>
  </si>
  <si>
    <t>2026 Budget HC</t>
  </si>
  <si>
    <t>2026 Forecast HC</t>
  </si>
  <si>
    <t>2027 Plan HC</t>
  </si>
  <si>
    <t>2028 Plan HC</t>
  </si>
  <si>
    <t>2025 Payroll</t>
  </si>
  <si>
    <t>2026 Forecast Payroll</t>
  </si>
  <si>
    <t>2027 Payroll</t>
  </si>
  <si>
    <t>2028 Payroll</t>
  </si>
  <si>
    <t>2025 Avg Slry</t>
  </si>
  <si>
    <t>2026 Avg Slry</t>
  </si>
  <si>
    <t>2027 Avg Slry</t>
  </si>
  <si>
    <t>2028 Avg Slry</t>
  </si>
  <si>
    <t>2026 Payroll</t>
  </si>
  <si>
    <t>Finance</t>
  </si>
  <si>
    <t>Sales &amp; Marketing</t>
  </si>
  <si>
    <t>Operations</t>
  </si>
  <si>
    <t>Engineering</t>
  </si>
  <si>
    <t>HR &amp; Administration</t>
  </si>
  <si>
    <t>IT</t>
  </si>
  <si>
    <t xml:space="preserve">Total </t>
  </si>
  <si>
    <t>Expense Category</t>
  </si>
  <si>
    <t>Travel &amp; Entertainment</t>
  </si>
  <si>
    <t>Professional Services</t>
  </si>
  <si>
    <t>Software &amp; Technology</t>
  </si>
  <si>
    <t>Insurance</t>
  </si>
  <si>
    <t>Office &amp; Administration</t>
  </si>
  <si>
    <t>Other operating Expense</t>
  </si>
  <si>
    <t>Revenue</t>
  </si>
  <si>
    <t>Headcount</t>
  </si>
  <si>
    <t>Expected Total</t>
  </si>
  <si>
    <t>Assume 3.0% ASP growth</t>
  </si>
  <si>
    <t>2026 Forecast Units</t>
  </si>
  <si>
    <t>2026 Forecast ASP</t>
  </si>
  <si>
    <t>2026 Forecast Revenue</t>
  </si>
  <si>
    <t>CapEx Category</t>
  </si>
  <si>
    <t>Production Equipment</t>
  </si>
  <si>
    <t>Facility Improvements</t>
  </si>
  <si>
    <t>Technology &amp; Systems</t>
  </si>
  <si>
    <t>Maintenance CapEx</t>
  </si>
  <si>
    <t>Capacity Expansion</t>
  </si>
  <si>
    <t>Capacity</t>
  </si>
  <si>
    <t>Existing Assets</t>
  </si>
  <si>
    <t>Utlization</t>
  </si>
  <si>
    <t>Useful Life (in years)</t>
  </si>
  <si>
    <t>Total CapEx</t>
  </si>
  <si>
    <t>Maintence increases by 5%</t>
  </si>
  <si>
    <t>CapEx / Revenue</t>
  </si>
  <si>
    <t>Production Capacity</t>
  </si>
  <si>
    <t>Capacity Expansion Required?</t>
  </si>
  <si>
    <t>Upside</t>
  </si>
  <si>
    <t>Depreciation Schedule (Straight-Line, Cumulative Vintages)</t>
  </si>
  <si>
    <t>Category</t>
  </si>
  <si>
    <t>Total Depreciation &amp; Amortization</t>
  </si>
  <si>
    <t>2026 Budget labor Cost</t>
  </si>
  <si>
    <t>Consolidated Income Statement ($)</t>
  </si>
  <si>
    <t>Gross Profit</t>
  </si>
  <si>
    <t>Gross Margin %</t>
  </si>
  <si>
    <t>SG&amp;A - Operating Expenses</t>
  </si>
  <si>
    <t>SG&amp;A - Corporate Payroll</t>
  </si>
  <si>
    <t>Total Operating Expenses</t>
  </si>
  <si>
    <t>EBITDA</t>
  </si>
  <si>
    <t>EBITDA Margin %</t>
  </si>
  <si>
    <t>Depreciation &amp; Amortization</t>
  </si>
  <si>
    <t>EBIT (Operating Income)</t>
  </si>
  <si>
    <t>EBIT Margin %</t>
  </si>
  <si>
    <t>Interest Expense</t>
  </si>
  <si>
    <t>Earnings Before Tax</t>
  </si>
  <si>
    <t>Income Tax Expense</t>
  </si>
  <si>
    <t>Net Income</t>
  </si>
  <si>
    <t>Net Margin %</t>
  </si>
  <si>
    <t>Cost of Goods Sold (COGS)</t>
  </si>
  <si>
    <t>Memo : Bottom-up Cost build (Reconciliation)</t>
  </si>
  <si>
    <t xml:space="preserve">  Direct Labor Cost</t>
  </si>
  <si>
    <t xml:space="preserve">  Direct Materials Spend</t>
  </si>
  <si>
    <t xml:space="preserve">  Manufacturing Overhead</t>
  </si>
  <si>
    <t xml:space="preserve">  Total Bottom-Up Cost Build</t>
  </si>
  <si>
    <t xml:space="preserve">  Variance vs. Top-Down COGS</t>
  </si>
  <si>
    <t>2026F Unit Cost LC</t>
  </si>
  <si>
    <t>2026F FX</t>
  </si>
  <si>
    <t>2026F USD Spend</t>
  </si>
  <si>
    <t>2026F Quantity</t>
  </si>
  <si>
    <t>Working Capital Schedule</t>
  </si>
  <si>
    <t>Accounts Receivable</t>
  </si>
  <si>
    <t>Inventory</t>
  </si>
  <si>
    <t>Accounts Payable</t>
  </si>
  <si>
    <t>Net Working Capital</t>
  </si>
  <si>
    <t>Change in Net Working Capital</t>
  </si>
  <si>
    <t>Days Metrics (Memo)</t>
  </si>
  <si>
    <t>DSO (days)</t>
  </si>
  <si>
    <t>DIO (days)</t>
  </si>
  <si>
    <t>DPO (days)</t>
  </si>
  <si>
    <t>Cash Conversion Cycle (days)</t>
  </si>
  <si>
    <t>Statement of Cash Flows</t>
  </si>
  <si>
    <t>Cash Flow from Operations</t>
  </si>
  <si>
    <t xml:space="preserve">  Net Income</t>
  </si>
  <si>
    <t xml:space="preserve">  + Depreciation &amp; Amortization</t>
  </si>
  <si>
    <t xml:space="preserve">  - (Increase) / Decrease in NWC</t>
  </si>
  <si>
    <t>Cash Flow from Operations (CFO)</t>
  </si>
  <si>
    <t>Cash Flow from Investing</t>
  </si>
  <si>
    <t xml:space="preserve">  CapEx</t>
  </si>
  <si>
    <t>Cash Flow from Investing (CFI)</t>
  </si>
  <si>
    <t>Cash Flow from Financing</t>
  </si>
  <si>
    <t xml:space="preserve">  Debt / Dividends / Buybacks</t>
  </si>
  <si>
    <t>Cash Flow from Financing (CFF)</t>
  </si>
  <si>
    <t>Net Change in Cash</t>
  </si>
  <si>
    <t>Beginning Cash Balance</t>
  </si>
  <si>
    <t>Ending Cash Balance</t>
  </si>
  <si>
    <t>2026 Budget vs. Forecast Variance Analysis</t>
  </si>
  <si>
    <t>Cost of Goods Sold</t>
  </si>
  <si>
    <t>$ Variance</t>
  </si>
  <si>
    <t>% Variance</t>
  </si>
  <si>
    <t>Fav / (Unfav)</t>
  </si>
  <si>
    <t>4-Year Forecast Summary (Best-Estimate Path: 2025A -&gt; 2026 Forecast -&gt; 2027 Plan -&gt; 2028 Plan)</t>
  </si>
  <si>
    <t>Revenue Growth % YoY</t>
  </si>
  <si>
    <t>Free Cash Flow (CFO - CapEx)</t>
  </si>
  <si>
    <t>-</t>
  </si>
  <si>
    <t>2026 Scenario Analysis: Base / Upside / Downside</t>
  </si>
  <si>
    <t>Scenario</t>
  </si>
  <si>
    <t>Rev. Growth Delta (pp)</t>
  </si>
  <si>
    <t>Gross Margin Delta (pp)</t>
  </si>
  <si>
    <t>EBIT</t>
  </si>
  <si>
    <t>Downside</t>
  </si>
  <si>
    <t>Base</t>
  </si>
  <si>
    <t>Selected Scenario (per Control Panel)</t>
  </si>
  <si>
    <t>Revenue Variance Bridge: 2026 Budget vs. 2026 Forecast</t>
  </si>
  <si>
    <t>2026 Budget Revenue</t>
  </si>
  <si>
    <t>Volume Variance</t>
  </si>
  <si>
    <t>Price Variance</t>
  </si>
  <si>
    <t>Total</t>
  </si>
  <si>
    <t xml:space="preserve">BRIDGE CHECK </t>
  </si>
  <si>
    <t xml:space="preserve">Forecast Revenue </t>
  </si>
  <si>
    <t xml:space="preserve">FX Assumptions </t>
  </si>
  <si>
    <t>Assumptions</t>
  </si>
  <si>
    <t>Management Dashboard</t>
  </si>
  <si>
    <t>KPI</t>
  </si>
  <si>
    <t>Revenue ($)</t>
  </si>
  <si>
    <t>Net Income ($)</t>
  </si>
  <si>
    <t>CapEx % of Revenue</t>
  </si>
  <si>
    <t>International Sourcing % of Spend</t>
  </si>
  <si>
    <t>Ending Cash Balance ($)</t>
  </si>
  <si>
    <t>Check</t>
  </si>
  <si>
    <t>Gross Margin % ties to Assumptions driver</t>
  </si>
  <si>
    <t>Capacity Utilization &lt;= 100%</t>
  </si>
  <si>
    <t>Working Capital balances are non-negative</t>
  </si>
  <si>
    <t>Ending Cash Balance is positive</t>
  </si>
  <si>
    <t>Depreciation &amp; Amortization is non-negative</t>
  </si>
  <si>
    <t>Revenue Variance Bridge ties out (Budget+Vol+Price=Forecast)</t>
  </si>
  <si>
    <t>Bottom-Up COGS Build vs. Top-Down (Assumption-driven) Gross Margin</t>
  </si>
  <si>
    <t>Model Integrity Checks</t>
  </si>
  <si>
    <t>Status</t>
  </si>
  <si>
    <t>Known variance — see P&amp;L memo note</t>
  </si>
  <si>
    <t>Note: The last check above is informational, not a pass/fail check. It quantifies the known gap between the bottom-up labor/material/overhead build and the top-down Gross Margin assumption, caused by the illustrative unit-cost inputs provided in the source sheets.</t>
  </si>
  <si>
    <t>FP&amp;A Integrated Financial Model — FY2025A Actuals through FY2028 Long-Range Plan</t>
  </si>
  <si>
    <t>Contents</t>
  </si>
  <si>
    <t>Control Panel</t>
  </si>
  <si>
    <t>Scenario selector and model-wide settings</t>
  </si>
  <si>
    <t>Historical_Actuals</t>
  </si>
  <si>
    <t>2025A baseline P&amp;L and operating summary</t>
  </si>
  <si>
    <t>Assumptions / FX_Assumptions</t>
  </si>
  <si>
    <t>Key growth, margin, working-capital, and FX drivers by year</t>
  </si>
  <si>
    <t>Revenue_Model</t>
  </si>
  <si>
    <t>Unit / ASP build by product line</t>
  </si>
  <si>
    <t>Production_Model / Sourcing_Model</t>
  </si>
  <si>
    <t>Production volumes, scrap/yield, and material sourcing (with FX)</t>
  </si>
  <si>
    <t>Direct_Labor / Manufacturing_OH</t>
  </si>
  <si>
    <t>Factory labor and manufacturing overhead build</t>
  </si>
  <si>
    <t>Headcount / OpEx / CapEx</t>
  </si>
  <si>
    <t>Corporate payroll, operating expenses, and capital spending</t>
  </si>
  <si>
    <t>Working_Capital</t>
  </si>
  <si>
    <t>AR / Inventory / AP and cash conversion cycle</t>
  </si>
  <si>
    <t>P&amp;L / Cash_Flow</t>
  </si>
  <si>
    <t>Consolidated income statement and statement of cash flows</t>
  </si>
  <si>
    <t>Budget_vs_Actual / Variance_Drivers</t>
  </si>
  <si>
    <t>2026 Budget-to-Forecast variance and driver bridge</t>
  </si>
  <si>
    <t>Forecast</t>
  </si>
  <si>
    <t>4-year summary trend of key metrics</t>
  </si>
  <si>
    <t>Scenario_Analysis</t>
  </si>
  <si>
    <t>Base / Upside / Downside sensitivity, linked to Control Panel</t>
  </si>
  <si>
    <t>Management_Dashboard</t>
  </si>
  <si>
    <t>KPI summary and charts</t>
  </si>
  <si>
    <t>Checks</t>
  </si>
  <si>
    <t>Model integrity and tie-out checks</t>
  </si>
  <si>
    <t>2025A Historical Summary (Baseline Year)</t>
  </si>
  <si>
    <t>P&amp;L Summary</t>
  </si>
  <si>
    <t>Operating Metrics</t>
  </si>
  <si>
    <t>Total Units Sold</t>
  </si>
  <si>
    <t>Total Production Units</t>
  </si>
  <si>
    <t>Total Headcount</t>
  </si>
  <si>
    <t>Sourcing Model</t>
  </si>
  <si>
    <t>Growth Rate</t>
  </si>
  <si>
    <t>Supplier price inflation</t>
  </si>
  <si>
    <t xml:space="preserve">Local currency price increase </t>
  </si>
  <si>
    <t>Labor Hr/Unit</t>
  </si>
  <si>
    <t>Manufacturing OH</t>
  </si>
  <si>
    <t xml:space="preserve">Direct labour Cost </t>
  </si>
  <si>
    <t>Operating Expense</t>
  </si>
  <si>
    <t>Row Labels</t>
  </si>
  <si>
    <t>Grand Total</t>
  </si>
  <si>
    <t>Sum of 2025 Revenue</t>
  </si>
  <si>
    <t>Sum of 2026 Revenue</t>
  </si>
  <si>
    <t>Sum of 2026 Forecast Revenue</t>
  </si>
  <si>
    <t>Sum of 2027 Revenue</t>
  </si>
  <si>
    <t>Sum of 2028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</si>
</sst>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00"/>
    <numFmt numFmtId="167" formatCode="_(&quot;$&quot;* #,##0_);_(&quot;$&quot;* \(#,##0\);_(&quot;$&quot;* &quot;-&quot;??_);_(@_)"/>
    <numFmt numFmtId="168" formatCode="_(&quot;$&quot;* #,##0.0_);_(&quot;$&quot;* \(#,##0.0\);_(&quot;$&quot;* &quot;-&quot;??_);_(@_)"/>
    <numFmt numFmtId="169" formatCode="_(\$* #,##0.00_);_(\$* \(#,##0.00\);_(\$* \-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</font>
    <font>
      <i/>
      <sz val="9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4"/>
      <name val="Calibri"/>
      <family val="2"/>
      <scheme val="minor"/>
    </font>
    <font>
      <i/>
      <sz val="9"/>
      <color rgb="FFFF0000"/>
      <name val="Calibri"/>
      <family val="2"/>
    </font>
    <font>
      <b/>
      <sz val="24"/>
      <color rgb="FF1F3864"/>
      <name val="Calibri"/>
      <family val="2"/>
    </font>
    <font>
      <i/>
      <sz val="14"/>
      <color rgb="FF44546A"/>
      <name val="Calibri"/>
      <family val="2"/>
    </font>
    <font>
      <sz val="14"/>
      <name val="Calibri"/>
      <family val="2"/>
    </font>
    <font>
      <b/>
      <i/>
      <sz val="16"/>
      <color theme="0"/>
      <name val="Calibri"/>
      <family val="2"/>
    </font>
    <font>
      <b/>
      <sz val="16"/>
      <name val="Calibri"/>
      <family val="2"/>
    </font>
    <font>
      <sz val="11"/>
      <color theme="0"/>
      <name val="Calibri"/>
      <family val="2"/>
      <scheme val="minor"/>
    </font>
    <font>
      <b/>
      <i/>
      <sz val="12"/>
      <color theme="8"/>
      <name val="Calibri"/>
      <family val="2"/>
    </font>
    <font>
      <b/>
      <sz val="11"/>
      <color theme="0"/>
      <name val="Calibri (Body)"/>
    </font>
    <font>
      <sz val="11"/>
      <color theme="0"/>
      <name val="Calibri (Body)"/>
    </font>
    <font>
      <b/>
      <i/>
      <sz val="11"/>
      <color theme="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12"/>
      <color theme="8"/>
      <name val="Calibri"/>
      <family val="2"/>
      <scheme val="minor"/>
    </font>
    <font>
      <b/>
      <i/>
      <sz val="14"/>
      <color theme="8"/>
      <name val="Calibri"/>
      <family val="2"/>
    </font>
    <font>
      <b/>
      <sz val="18"/>
      <name val="Calibri"/>
      <family val="2"/>
    </font>
    <font>
      <b/>
      <sz val="16"/>
      <color theme="1"/>
      <name val="Calibri"/>
      <family val="2"/>
      <scheme val="minor"/>
    </font>
    <font>
      <i/>
      <sz val="9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9"/>
      <color theme="5" tint="-0.249977111117893"/>
      <name val="Calibri (Body)"/>
    </font>
    <font>
      <sz val="11"/>
      <color theme="5" tint="-0.249977111117893"/>
      <name val="Calibri (Body)"/>
    </font>
    <font>
      <b/>
      <sz val="16"/>
      <name val="Calibri (Body)"/>
    </font>
    <font>
      <b/>
      <sz val="11"/>
      <color theme="8"/>
      <name val="Calibri"/>
      <family val="2"/>
    </font>
    <font>
      <b/>
      <i/>
      <sz val="11"/>
      <color theme="8"/>
      <name val="Calibri"/>
      <family val="2"/>
    </font>
    <font>
      <b/>
      <sz val="11"/>
      <color theme="0"/>
      <name val="Calibri"/>
      <family val="2"/>
    </font>
    <font>
      <i/>
      <sz val="14"/>
      <color theme="8"/>
      <name val="Calibri"/>
      <family val="2"/>
      <scheme val="minor"/>
    </font>
    <font>
      <i/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6" fontId="0" fillId="0" borderId="0" xfId="0" applyNumberFormat="1"/>
    <xf numFmtId="44" fontId="0" fillId="0" borderId="0" xfId="0" applyNumberFormat="1"/>
    <xf numFmtId="0" fontId="0" fillId="3" borderId="0" xfId="0" applyFill="1"/>
    <xf numFmtId="0" fontId="12" fillId="3" borderId="0" xfId="0" applyFont="1" applyFill="1"/>
    <xf numFmtId="0" fontId="15" fillId="3" borderId="0" xfId="0" applyFont="1" applyFill="1"/>
    <xf numFmtId="0" fontId="0" fillId="3" borderId="0" xfId="0" applyFill="1" applyAlignment="1">
      <alignment horizontal="right"/>
    </xf>
    <xf numFmtId="0" fontId="19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44" fontId="0" fillId="3" borderId="0" xfId="2" applyFont="1" applyFill="1"/>
    <xf numFmtId="9" fontId="0" fillId="3" borderId="0" xfId="3" applyFont="1" applyFill="1"/>
    <xf numFmtId="44" fontId="0" fillId="3" borderId="0" xfId="0" applyNumberFormat="1" applyFill="1"/>
    <xf numFmtId="164" fontId="0" fillId="3" borderId="0" xfId="3" applyNumberFormat="1" applyFont="1" applyFill="1"/>
    <xf numFmtId="165" fontId="0" fillId="3" borderId="0" xfId="1" applyNumberFormat="1" applyFont="1" applyFill="1"/>
    <xf numFmtId="167" fontId="0" fillId="3" borderId="0" xfId="2" applyNumberFormat="1" applyFont="1" applyFill="1"/>
    <xf numFmtId="10" fontId="0" fillId="3" borderId="0" xfId="0" applyNumberFormat="1" applyFill="1"/>
    <xf numFmtId="0" fontId="25" fillId="3" borderId="0" xfId="0" applyFont="1" applyFill="1"/>
    <xf numFmtId="0" fontId="17" fillId="4" borderId="0" xfId="0" applyFont="1" applyFill="1"/>
    <xf numFmtId="0" fontId="26" fillId="4" borderId="0" xfId="0" applyFont="1" applyFill="1"/>
    <xf numFmtId="0" fontId="27" fillId="3" borderId="0" xfId="0" applyFont="1" applyFill="1"/>
    <xf numFmtId="0" fontId="28" fillId="4" borderId="0" xfId="0" applyFont="1" applyFill="1"/>
    <xf numFmtId="0" fontId="29" fillId="4" borderId="0" xfId="0" applyFont="1" applyFill="1"/>
    <xf numFmtId="164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horizontal="center"/>
    </xf>
    <xf numFmtId="0" fontId="17" fillId="4" borderId="0" xfId="0" applyFont="1" applyFill="1" applyAlignment="1">
      <alignment horizontal="center"/>
    </xf>
    <xf numFmtId="0" fontId="2" fillId="3" borderId="0" xfId="0" applyFont="1" applyFill="1"/>
    <xf numFmtId="166" fontId="0" fillId="3" borderId="0" xfId="0" applyNumberFormat="1" applyFill="1" applyAlignment="1">
      <alignment horizontal="center"/>
    </xf>
    <xf numFmtId="0" fontId="7" fillId="3" borderId="0" xfId="0" applyFont="1" applyFill="1"/>
    <xf numFmtId="0" fontId="6" fillId="4" borderId="0" xfId="0" applyFont="1" applyFill="1"/>
    <xf numFmtId="0" fontId="16" fillId="3" borderId="0" xfId="0" applyFont="1" applyFill="1"/>
    <xf numFmtId="165" fontId="0" fillId="3" borderId="0" xfId="1" applyNumberFormat="1" applyFont="1" applyFill="1" applyBorder="1"/>
    <xf numFmtId="44" fontId="0" fillId="3" borderId="0" xfId="2" applyFont="1" applyFill="1" applyBorder="1"/>
    <xf numFmtId="43" fontId="0" fillId="3" borderId="0" xfId="1" applyFont="1" applyFill="1" applyBorder="1"/>
    <xf numFmtId="43" fontId="0" fillId="3" borderId="0" xfId="0" applyNumberFormat="1" applyFill="1"/>
    <xf numFmtId="6" fontId="0" fillId="3" borderId="0" xfId="0" applyNumberFormat="1" applyFill="1"/>
    <xf numFmtId="8" fontId="0" fillId="3" borderId="0" xfId="0" applyNumberFormat="1" applyFill="1"/>
    <xf numFmtId="0" fontId="2" fillId="3" borderId="2" xfId="0" applyFont="1" applyFill="1" applyBorder="1"/>
    <xf numFmtId="165" fontId="2" fillId="3" borderId="2" xfId="1" applyNumberFormat="1" applyFont="1" applyFill="1" applyBorder="1"/>
    <xf numFmtId="6" fontId="2" fillId="3" borderId="2" xfId="0" applyNumberFormat="1" applyFont="1" applyFill="1" applyBorder="1"/>
    <xf numFmtId="44" fontId="2" fillId="3" borderId="2" xfId="0" applyNumberFormat="1" applyFont="1" applyFill="1" applyBorder="1"/>
    <xf numFmtId="0" fontId="3" fillId="3" borderId="0" xfId="0" applyFont="1" applyFill="1"/>
    <xf numFmtId="3" fontId="0" fillId="3" borderId="0" xfId="0" applyNumberFormat="1" applyFill="1"/>
    <xf numFmtId="1" fontId="0" fillId="3" borderId="0" xfId="0" applyNumberFormat="1" applyFill="1"/>
    <xf numFmtId="0" fontId="0" fillId="3" borderId="1" xfId="0" applyFill="1" applyBorder="1"/>
    <xf numFmtId="3" fontId="17" fillId="4" borderId="0" xfId="0" applyNumberFormat="1" applyFont="1" applyFill="1"/>
    <xf numFmtId="165" fontId="17" fillId="4" borderId="0" xfId="1" applyNumberFormat="1" applyFont="1" applyFill="1" applyBorder="1"/>
    <xf numFmtId="10" fontId="17" fillId="4" borderId="0" xfId="0" applyNumberFormat="1" applyFont="1" applyFill="1"/>
    <xf numFmtId="43" fontId="17" fillId="4" borderId="0" xfId="0" applyNumberFormat="1" applyFont="1" applyFill="1"/>
    <xf numFmtId="166" fontId="0" fillId="3" borderId="0" xfId="0" applyNumberFormat="1" applyFill="1"/>
    <xf numFmtId="0" fontId="0" fillId="3" borderId="0" xfId="2" applyNumberFormat="1" applyFont="1" applyFill="1"/>
    <xf numFmtId="167" fontId="0" fillId="3" borderId="0" xfId="0" applyNumberFormat="1" applyFill="1"/>
    <xf numFmtId="10" fontId="0" fillId="3" borderId="0" xfId="3" applyNumberFormat="1" applyFont="1" applyFill="1"/>
    <xf numFmtId="9" fontId="16" fillId="3" borderId="0" xfId="3" applyFont="1" applyFill="1"/>
    <xf numFmtId="9" fontId="16" fillId="3" borderId="0" xfId="0" applyNumberFormat="1" applyFont="1" applyFill="1"/>
    <xf numFmtId="10" fontId="16" fillId="3" borderId="0" xfId="0" applyNumberFormat="1" applyFont="1" applyFill="1"/>
    <xf numFmtId="167" fontId="2" fillId="3" borderId="2" xfId="2" applyNumberFormat="1" applyFont="1" applyFill="1" applyBorder="1"/>
    <xf numFmtId="44" fontId="2" fillId="3" borderId="2" xfId="2" applyFont="1" applyFill="1" applyBorder="1"/>
    <xf numFmtId="43" fontId="0" fillId="3" borderId="0" xfId="1" applyFont="1" applyFill="1"/>
    <xf numFmtId="0" fontId="0" fillId="3" borderId="2" xfId="0" applyFill="1" applyBorder="1"/>
    <xf numFmtId="43" fontId="2" fillId="3" borderId="2" xfId="0" applyNumberFormat="1" applyFont="1" applyFill="1" applyBorder="1"/>
    <xf numFmtId="43" fontId="2" fillId="3" borderId="2" xfId="1" applyFont="1" applyFill="1" applyBorder="1"/>
    <xf numFmtId="167" fontId="2" fillId="3" borderId="2" xfId="0" applyNumberFormat="1" applyFont="1" applyFill="1" applyBorder="1"/>
    <xf numFmtId="0" fontId="30" fillId="4" borderId="0" xfId="0" applyFont="1" applyFill="1"/>
    <xf numFmtId="0" fontId="31" fillId="3" borderId="0" xfId="0" applyFont="1" applyFill="1"/>
    <xf numFmtId="0" fontId="17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169" fontId="0" fillId="3" borderId="0" xfId="0" applyNumberFormat="1" applyFill="1"/>
    <xf numFmtId="169" fontId="0" fillId="3" borderId="0" xfId="2" applyNumberFormat="1" applyFont="1" applyFill="1"/>
    <xf numFmtId="169" fontId="2" fillId="3" borderId="2" xfId="0" applyNumberFormat="1" applyFont="1" applyFill="1" applyBorder="1"/>
    <xf numFmtId="0" fontId="9" fillId="3" borderId="0" xfId="0" applyFont="1" applyFill="1"/>
    <xf numFmtId="0" fontId="28" fillId="4" borderId="0" xfId="0" applyFont="1" applyFill="1" applyAlignment="1">
      <alignment horizontal="center"/>
    </xf>
    <xf numFmtId="0" fontId="28" fillId="4" borderId="0" xfId="0" applyFont="1" applyFill="1" applyAlignment="1">
      <alignment horizontal="left"/>
    </xf>
    <xf numFmtId="0" fontId="8" fillId="3" borderId="2" xfId="0" applyFont="1" applyFill="1" applyBorder="1"/>
    <xf numFmtId="0" fontId="18" fillId="4" borderId="0" xfId="0" applyFont="1" applyFill="1"/>
    <xf numFmtId="0" fontId="32" fillId="3" borderId="0" xfId="0" applyFont="1" applyFill="1"/>
    <xf numFmtId="0" fontId="33" fillId="3" borderId="0" xfId="0" applyFont="1" applyFill="1"/>
    <xf numFmtId="0" fontId="34" fillId="3" borderId="0" xfId="0" applyFont="1" applyFill="1"/>
    <xf numFmtId="0" fontId="0" fillId="4" borderId="0" xfId="0" applyFill="1"/>
    <xf numFmtId="0" fontId="8" fillId="3" borderId="0" xfId="0" applyFont="1" applyFill="1"/>
    <xf numFmtId="6" fontId="2" fillId="3" borderId="0" xfId="0" applyNumberFormat="1" applyFont="1" applyFill="1"/>
    <xf numFmtId="44" fontId="2" fillId="3" borderId="0" xfId="0" applyNumberFormat="1" applyFont="1" applyFill="1"/>
    <xf numFmtId="168" fontId="0" fillId="3" borderId="0" xfId="2" applyNumberFormat="1" applyFont="1" applyFill="1"/>
    <xf numFmtId="0" fontId="10" fillId="3" borderId="2" xfId="0" applyFont="1" applyFill="1" applyBorder="1"/>
    <xf numFmtId="44" fontId="11" fillId="3" borderId="0" xfId="0" applyNumberFormat="1" applyFont="1" applyFill="1"/>
    <xf numFmtId="0" fontId="20" fillId="3" borderId="0" xfId="0" applyFont="1" applyFill="1"/>
    <xf numFmtId="0" fontId="36" fillId="3" borderId="0" xfId="0" applyFont="1" applyFill="1"/>
    <xf numFmtId="164" fontId="37" fillId="3" borderId="0" xfId="3" applyNumberFormat="1" applyFont="1" applyFill="1"/>
    <xf numFmtId="0" fontId="38" fillId="3" borderId="0" xfId="0" applyFont="1" applyFill="1"/>
    <xf numFmtId="164" fontId="39" fillId="3" borderId="0" xfId="3" applyNumberFormat="1" applyFont="1" applyFill="1"/>
    <xf numFmtId="8" fontId="0" fillId="3" borderId="0" xfId="2" applyNumberFormat="1" applyFont="1" applyFill="1"/>
    <xf numFmtId="167" fontId="2" fillId="3" borderId="0" xfId="0" applyNumberFormat="1" applyFont="1" applyFill="1"/>
    <xf numFmtId="167" fontId="13" fillId="3" borderId="0" xfId="0" applyNumberFormat="1" applyFont="1" applyFill="1"/>
    <xf numFmtId="167" fontId="14" fillId="3" borderId="0" xfId="2" applyNumberFormat="1" applyFont="1" applyFill="1"/>
    <xf numFmtId="0" fontId="41" fillId="3" borderId="0" xfId="0" applyFont="1" applyFill="1"/>
    <xf numFmtId="0" fontId="42" fillId="3" borderId="0" xfId="0" applyFont="1" applyFill="1"/>
    <xf numFmtId="0" fontId="8" fillId="3" borderId="0" xfId="0" applyFont="1" applyFill="1" applyAlignment="1">
      <alignment horizontal="center"/>
    </xf>
    <xf numFmtId="0" fontId="29" fillId="4" borderId="0" xfId="0" applyFont="1" applyFill="1" applyAlignment="1">
      <alignment horizontal="center"/>
    </xf>
    <xf numFmtId="167" fontId="13" fillId="3" borderId="2" xfId="0" applyNumberFormat="1" applyFont="1" applyFill="1" applyBorder="1"/>
    <xf numFmtId="44" fontId="0" fillId="3" borderId="2" xfId="2" applyFont="1" applyFill="1" applyBorder="1"/>
    <xf numFmtId="167" fontId="2" fillId="3" borderId="0" xfId="2" applyNumberFormat="1" applyFont="1" applyFill="1"/>
    <xf numFmtId="0" fontId="43" fillId="4" borderId="0" xfId="0" applyFont="1" applyFill="1"/>
    <xf numFmtId="0" fontId="43" fillId="4" borderId="0" xfId="0" applyFont="1" applyFill="1" applyAlignment="1">
      <alignment horizontal="center"/>
    </xf>
    <xf numFmtId="167" fontId="13" fillId="5" borderId="0" xfId="2" applyNumberFormat="1" applyFont="1" applyFill="1"/>
    <xf numFmtId="164" fontId="13" fillId="5" borderId="0" xfId="3" applyNumberFormat="1" applyFont="1" applyFill="1"/>
    <xf numFmtId="167" fontId="11" fillId="3" borderId="0" xfId="2" applyNumberFormat="1" applyFont="1" applyFill="1"/>
    <xf numFmtId="167" fontId="13" fillId="3" borderId="2" xfId="2" applyNumberFormat="1" applyFont="1" applyFill="1" applyBorder="1"/>
    <xf numFmtId="0" fontId="13" fillId="3" borderId="0" xfId="0" applyFont="1" applyFill="1"/>
    <xf numFmtId="0" fontId="44" fillId="3" borderId="0" xfId="0" applyFont="1" applyFill="1"/>
    <xf numFmtId="0" fontId="45" fillId="3" borderId="0" xfId="0" applyFont="1" applyFill="1"/>
    <xf numFmtId="0" fontId="4" fillId="3" borderId="0" xfId="0" applyFont="1" applyFill="1" applyAlignment="1">
      <alignment horizontal="center"/>
    </xf>
    <xf numFmtId="43" fontId="2" fillId="3" borderId="1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3" fillId="3" borderId="0" xfId="0" applyFont="1" applyFill="1"/>
    <xf numFmtId="0" fontId="21" fillId="3" borderId="0" xfId="0" applyFont="1" applyFill="1" applyAlignment="1">
      <alignment horizontal="left"/>
    </xf>
    <xf numFmtId="0" fontId="22" fillId="3" borderId="0" xfId="0" applyFont="1" applyFill="1"/>
    <xf numFmtId="0" fontId="24" fillId="2" borderId="0" xfId="0" applyFont="1" applyFill="1"/>
    <xf numFmtId="0" fontId="35" fillId="3" borderId="0" xfId="0" applyFont="1" applyFill="1" applyAlignment="1">
      <alignment horizontal="left"/>
    </xf>
    <xf numFmtId="0" fontId="32" fillId="3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40" fillId="3" borderId="0" xfId="0" applyFont="1" applyFill="1" applyAlignment="1">
      <alignment horizontal="left"/>
    </xf>
    <xf numFmtId="0" fontId="20" fillId="3" borderId="0" xfId="0" applyFont="1" applyFill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[MidWest_Precision_FP&amp;A_Model.xlsx]Dashboard!PivotTable1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Sum of 2025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3"/>
                <c:pt idx="0">
                  <c:v>Automotive Components</c:v>
                </c:pt>
                <c:pt idx="1">
                  <c:v>Industrial Assemblies</c:v>
                </c:pt>
                <c:pt idx="2">
                  <c:v>Precision Components</c:v>
                </c:pt>
              </c:strCache>
            </c:strRef>
          </c:cat>
          <c:val>
            <c:numRef>
              <c:f>Dashboard!$B$2:$B$5</c:f>
              <c:numCache>
                <c:formatCode>"$"#,##0_);[Red]\("$"#,##0\)</c:formatCode>
                <c:ptCount val="3"/>
                <c:pt idx="0">
                  <c:v>10850000</c:v>
                </c:pt>
                <c:pt idx="1">
                  <c:v>16900000</c:v>
                </c:pt>
                <c:pt idx="2">
                  <c:v>22200000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DA-2C4B-861C-3F6CEC95DC41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Sum of 2026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3"/>
                <c:pt idx="0">
                  <c:v>Automotive Components</c:v>
                </c:pt>
                <c:pt idx="1">
                  <c:v>Industrial Assemblies</c:v>
                </c:pt>
                <c:pt idx="2">
                  <c:v>Precision Components</c:v>
                </c:pt>
              </c:strCache>
            </c:strRef>
          </c:cat>
          <c:val>
            <c:numRef>
              <c:f>Dashboard!$C$2:$C$5</c:f>
              <c:numCache>
                <c:formatCode>_("$"* #,##0.00_);_("$"* \(#,##0.00\);_("$"* "-"??_);_(@_)</c:formatCode>
                <c:ptCount val="3"/>
                <c:pt idx="0">
                  <c:v>11510765</c:v>
                </c:pt>
                <c:pt idx="1">
                  <c:v>17929210</c:v>
                </c:pt>
                <c:pt idx="2">
                  <c:v>23551980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DA-2C4B-861C-3F6CEC95DC41}"/>
            </c:ext>
          </c:extLst>
        </c:ser>
        <c:ser>
          <c:idx val="2"/>
          <c:order val="2"/>
          <c:tx>
            <c:strRef>
              <c:f>Dashboard!$D$1</c:f>
              <c:strCache>
                <c:ptCount val="1"/>
                <c:pt idx="0">
                  <c:v>Sum of 2026 Forecast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3"/>
                <c:pt idx="0">
                  <c:v>Automotive Components</c:v>
                </c:pt>
                <c:pt idx="1">
                  <c:v>Industrial Assemblies</c:v>
                </c:pt>
                <c:pt idx="2">
                  <c:v>Precision Components</c:v>
                </c:pt>
              </c:strCache>
            </c:strRef>
          </c:cat>
          <c:val>
            <c:numRef>
              <c:f>Dashboard!$D$2:$D$5</c:f>
              <c:numCache>
                <c:formatCode>_("$"* #,##0.00_);_("$"* \(#,##0.00\);_("$"* "-"??_);_(@_)</c:formatCode>
                <c:ptCount val="3"/>
                <c:pt idx="0">
                  <c:v>11399281.249999996</c:v>
                </c:pt>
                <c:pt idx="1">
                  <c:v>17755562.5</c:v>
                </c:pt>
                <c:pt idx="2">
                  <c:v>23323874.999999993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DA-2C4B-861C-3F6CEC95DC41}"/>
            </c:ext>
          </c:extLst>
        </c:ser>
        <c:ser>
          <c:idx val="3"/>
          <c:order val="3"/>
          <c:tx>
            <c:strRef>
              <c:f>Dashboard!$E$1</c:f>
              <c:strCache>
                <c:ptCount val="1"/>
                <c:pt idx="0">
                  <c:v>Sum of 2027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3"/>
                <c:pt idx="0">
                  <c:v>Automotive Components</c:v>
                </c:pt>
                <c:pt idx="1">
                  <c:v>Industrial Assemblies</c:v>
                </c:pt>
                <c:pt idx="2">
                  <c:v>Precision Components</c:v>
                </c:pt>
              </c:strCache>
            </c:strRef>
          </c:cat>
          <c:val>
            <c:numRef>
              <c:f>Dashboard!$E$2:$E$5</c:f>
              <c:numCache>
                <c:formatCode>_("$"* #,##0.00_);_("$"* \(#,##0.00\);_("$"* "-"??_);_(@_)</c:formatCode>
                <c:ptCount val="3"/>
                <c:pt idx="0">
                  <c:v>12270475.49</c:v>
                </c:pt>
                <c:pt idx="1">
                  <c:v>19112537.859999999</c:v>
                </c:pt>
                <c:pt idx="2">
                  <c:v>25106410.68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DA-2C4B-861C-3F6CEC95DC41}"/>
            </c:ext>
          </c:extLst>
        </c:ser>
        <c:ser>
          <c:idx val="4"/>
          <c:order val="4"/>
          <c:tx>
            <c:strRef>
              <c:f>Dashboard!$F$1</c:f>
              <c:strCache>
                <c:ptCount val="1"/>
                <c:pt idx="0">
                  <c:v>Sum of 2028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3"/>
                <c:pt idx="0">
                  <c:v>Automotive Components</c:v>
                </c:pt>
                <c:pt idx="1">
                  <c:v>Industrial Assemblies</c:v>
                </c:pt>
                <c:pt idx="2">
                  <c:v>Precision Components</c:v>
                </c:pt>
              </c:strCache>
            </c:strRef>
          </c:cat>
          <c:val>
            <c:numRef>
              <c:f>Dashboard!$F$2:$F$5</c:f>
              <c:numCache>
                <c:formatCode>_("$"* #,##0.00_);_("$"* \(#,##0.00\);_("$"* "-"??_);_(@_)</c:formatCode>
                <c:ptCount val="3"/>
                <c:pt idx="0">
                  <c:v>12577237.377249997</c:v>
                </c:pt>
                <c:pt idx="1">
                  <c:v>19590351.306499999</c:v>
                </c:pt>
                <c:pt idx="2">
                  <c:v>25734070.946999993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DA-2C4B-861C-3F6CEC95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608320"/>
        <c:axId val="1800615040"/>
      </c:barChart>
      <c:catAx>
        <c:axId val="18006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15040"/>
        <c:crosses val="autoZero"/>
        <c:auto val="1"/>
        <c:lblAlgn val="ctr"/>
        <c:lblOffset val="100"/>
        <c:noMultiLvlLbl val="0"/>
      </c:catAx>
      <c:valAx>
        <c:axId val="18006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8</xdr:row>
      <xdr:rowOff>57150</xdr:rowOff>
    </xdr:from>
    <xdr:to>
      <xdr:col>5</xdr:col>
      <xdr:colOff>939800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555F1-E16F-8EDB-8256-2238B7C5C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asigawade/Downloads/MidWest_Precision_FP_A_Model.xlsx" TargetMode="External"/><Relationship Id="rId1" Type="http://schemas.openxmlformats.org/officeDocument/2006/relationships/externalLinkPath" Target="MidWest_Precision_FP_A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rol Panel"/>
      <sheetName val="Historical_Actuals"/>
      <sheetName val="Assumptions"/>
      <sheetName val="FX_Assumptions"/>
      <sheetName val="Revenue_Model"/>
      <sheetName val="Production_Model"/>
      <sheetName val="Sourcing_Model"/>
      <sheetName val="Direct_Labor"/>
      <sheetName val="Manufacturing_OH"/>
      <sheetName val="Headcount"/>
      <sheetName val="OpEx"/>
      <sheetName val="CapEx"/>
      <sheetName val="Working_Capital"/>
      <sheetName val="P&amp;L"/>
      <sheetName val="Cash_Flow"/>
      <sheetName val="Budget_vs_Actual"/>
      <sheetName val="Forecast"/>
      <sheetName val="Scenario_Analysis"/>
      <sheetName val="Variance_Drivers"/>
      <sheetName val="Management_Dashboard"/>
      <sheetName val="Check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Precision Components</v>
          </cell>
        </row>
        <row r="4">
          <cell r="A4" t="str">
            <v>Industrial Assemblies</v>
          </cell>
        </row>
        <row r="5">
          <cell r="A5" t="str">
            <v>Automotive Components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i Gawade" refreshedDate="46297.709258680552" createdVersion="8" refreshedVersion="8" minRefreshableVersion="3" recordCount="3" xr:uid="{7F8E2048-ABC9-CB49-9087-1E501FE851AD}">
  <cacheSource type="worksheet">
    <worksheetSource ref="B4:Q7" sheet="Revenue_Model"/>
  </cacheSource>
  <cacheFields count="16">
    <cacheField name="Product" numFmtId="0">
      <sharedItems count="3">
        <s v="Precision Components"/>
        <s v="Industrial Assemblies"/>
        <s v="Automotive Components"/>
      </sharedItems>
    </cacheField>
    <cacheField name="2025 Units" numFmtId="165">
      <sharedItems containsSemiMixedTypes="0" containsString="0" containsNumber="1" containsInteger="1" minValue="62000" maxValue="120000"/>
    </cacheField>
    <cacheField name="2025 ASP" numFmtId="6">
      <sharedItems containsSemiMixedTypes="0" containsString="0" containsNumber="1" containsInteger="1" minValue="175" maxValue="260"/>
    </cacheField>
    <cacheField name="2025 Revenue" numFmtId="6">
      <sharedItems containsSemiMixedTypes="0" containsString="0" containsNumber="1" containsInteger="1" minValue="10850000" maxValue="22200000"/>
    </cacheField>
    <cacheField name="2026 Units" numFmtId="165">
      <sharedItems containsSemiMixedTypes="0" containsString="0" containsNumber="1" containsInteger="1" minValue="63860" maxValue="123600"/>
    </cacheField>
    <cacheField name="2026 ASP" numFmtId="8">
      <sharedItems containsSemiMixedTypes="0" containsString="0" containsNumber="1" minValue="180.25" maxValue="267.8"/>
    </cacheField>
    <cacheField name="2026 Revenue" numFmtId="44">
      <sharedItems containsSemiMixedTypes="0" containsString="0" containsNumber="1" containsInteger="1" minValue="11510765" maxValue="23551980"/>
    </cacheField>
    <cacheField name="2026 Forecast Units" numFmtId="43">
      <sharedItems containsSemiMixedTypes="0" containsString="0" containsNumber="1" minValue="63549.999999999993" maxValue="122999.99999999999"/>
    </cacheField>
    <cacheField name="2026 Forecast ASP" numFmtId="44">
      <sharedItems containsSemiMixedTypes="0" containsString="0" containsNumber="1" minValue="179.37499999999997" maxValue="266.5"/>
    </cacheField>
    <cacheField name="2026 Forecast Revenue" numFmtId="44">
      <sharedItems containsSemiMixedTypes="0" containsString="0" containsNumber="1" minValue="11399281.249999996" maxValue="23323874.999999993"/>
    </cacheField>
    <cacheField name="2027 Units" numFmtId="43">
      <sharedItems containsSemiMixedTypes="0" containsString="0" containsNumber="1" minValue="66092" maxValue="127919.99999999999"/>
    </cacheField>
    <cacheField name="2027 ASP" numFmtId="44">
      <sharedItems containsSemiMixedTypes="0" containsString="0" containsNumber="1" minValue="185.6575" maxValue="275.834"/>
    </cacheField>
    <cacheField name="2027 Revenue" numFmtId="44">
      <sharedItems containsSemiMixedTypes="0" containsString="0" containsNumber="1" minValue="12270475.49" maxValue="25106410.68"/>
    </cacheField>
    <cacheField name="2028 Units" numFmtId="43">
      <sharedItems containsSemiMixedTypes="0" containsString="0" containsNumber="1" minValue="68074.759999999995" maxValue="131757.59999999998"/>
    </cacheField>
    <cacheField name="2028 ASP" numFmtId="44">
      <sharedItems containsSemiMixedTypes="0" containsString="0" containsNumber="1" minValue="184.75624999999997" maxValue="274.495"/>
    </cacheField>
    <cacheField name="2028 Revenue" numFmtId="44">
      <sharedItems containsSemiMixedTypes="0" containsString="0" containsNumber="1" minValue="12577237.377249997" maxValue="25734070.946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20000"/>
    <n v="185"/>
    <n v="22200000"/>
    <n v="123600"/>
    <n v="190.55"/>
    <n v="23551980"/>
    <n v="122999.99999999999"/>
    <n v="189.62499999999997"/>
    <n v="23323874.999999993"/>
    <n v="127919.99999999999"/>
    <n v="196.26650000000001"/>
    <n v="25106410.68"/>
    <n v="131757.59999999998"/>
    <n v="195.31374999999997"/>
    <n v="25734070.946999993"/>
  </r>
  <r>
    <x v="1"/>
    <n v="65000"/>
    <n v="260"/>
    <n v="16900000"/>
    <n v="66950"/>
    <n v="267.8"/>
    <n v="17929210"/>
    <n v="66625"/>
    <n v="266.5"/>
    <n v="17755562.5"/>
    <n v="69290"/>
    <n v="275.834"/>
    <n v="19112537.859999999"/>
    <n v="71368.7"/>
    <n v="274.495"/>
    <n v="19590351.306499999"/>
  </r>
  <r>
    <x v="2"/>
    <n v="62000"/>
    <n v="175"/>
    <n v="10850000"/>
    <n v="63860"/>
    <n v="180.25"/>
    <n v="11510765"/>
    <n v="63549.999999999993"/>
    <n v="179.37499999999997"/>
    <n v="11399281.249999996"/>
    <n v="66092"/>
    <n v="185.6575"/>
    <n v="12270475.49"/>
    <n v="68074.759999999995"/>
    <n v="184.75624999999997"/>
    <n v="12577237.37724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CC6CB-E758-674C-B8AC-B9E1A351A0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5" firstHeaderRow="0" firstDataRow="1" firstDataCol="1"/>
  <pivotFields count="16">
    <pivotField axis="axisRow" showAll="0">
      <items count="4">
        <item x="2"/>
        <item x="1"/>
        <item x="0"/>
        <item t="default"/>
      </items>
    </pivotField>
    <pivotField numFmtId="165" showAll="0"/>
    <pivotField numFmtId="6" showAll="0"/>
    <pivotField dataField="1" numFmtId="6" showAll="0"/>
    <pivotField numFmtId="165" showAll="0"/>
    <pivotField numFmtId="8" showAll="0"/>
    <pivotField dataField="1" numFmtId="44" showAll="0"/>
    <pivotField numFmtId="43" showAll="0"/>
    <pivotField numFmtId="44" showAll="0"/>
    <pivotField dataField="1" numFmtId="44" showAll="0"/>
    <pivotField numFmtId="43" showAll="0"/>
    <pivotField numFmtId="44" showAll="0"/>
    <pivotField dataField="1" numFmtId="44" showAll="0"/>
    <pivotField numFmtId="43" showAll="0"/>
    <pivotField numFmtId="44" showAll="0"/>
    <pivotField dataField="1" numFmtId="4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25 Revenue" fld="3" baseField="0" baseItem="0" numFmtId="6"/>
    <dataField name="Sum of 2026 Revenue" fld="6" baseField="0" baseItem="0" numFmtId="44"/>
    <dataField name="Sum of 2026 Forecast Revenue" fld="9" baseField="0" baseItem="0" numFmtId="44"/>
    <dataField name="Sum of 2027 Revenue" fld="12" baseField="0" baseItem="0" numFmtId="44"/>
    <dataField name="Sum of 2028 Revenue" fld="15" baseField="0" baseItem="0" numFmtId="44"/>
  </dataFields>
  <chartFormats count="5"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8.83203125" style="3"/>
    <col min="2" max="2" width="41" style="3" customWidth="1"/>
    <col min="3" max="7" width="8.83203125" style="3"/>
    <col min="8" max="8" width="24.1640625" style="3" customWidth="1"/>
    <col min="9" max="16384" width="8.83203125" style="3"/>
  </cols>
  <sheetData>
    <row r="2" spans="2:8" ht="31" x14ac:dyDescent="0.35">
      <c r="B2" s="116" t="s">
        <v>0</v>
      </c>
      <c r="C2" s="116"/>
      <c r="D2" s="116"/>
      <c r="E2" s="116"/>
      <c r="F2" s="116"/>
      <c r="G2" s="116"/>
      <c r="H2" s="116"/>
    </row>
    <row r="3" spans="2:8" ht="19" x14ac:dyDescent="0.25">
      <c r="B3" s="117" t="s">
        <v>280</v>
      </c>
      <c r="C3" s="117"/>
      <c r="D3" s="117"/>
      <c r="E3" s="117"/>
      <c r="F3" s="117"/>
      <c r="G3" s="117"/>
      <c r="H3" s="117"/>
    </row>
    <row r="6" spans="2:8" ht="21" x14ac:dyDescent="0.25">
      <c r="B6" s="118" t="s">
        <v>281</v>
      </c>
      <c r="C6" s="118"/>
      <c r="D6" s="118"/>
      <c r="E6" s="118"/>
      <c r="F6" s="118"/>
      <c r="G6" s="118"/>
      <c r="H6" s="118"/>
    </row>
    <row r="7" spans="2:8" ht="19" x14ac:dyDescent="0.25">
      <c r="B7" s="4" t="s">
        <v>282</v>
      </c>
      <c r="C7" s="115" t="s">
        <v>283</v>
      </c>
      <c r="D7" s="115"/>
      <c r="E7" s="115"/>
      <c r="F7" s="115"/>
      <c r="G7" s="115"/>
      <c r="H7" s="115"/>
    </row>
    <row r="8" spans="2:8" ht="19" x14ac:dyDescent="0.25">
      <c r="B8" s="4" t="s">
        <v>284</v>
      </c>
      <c r="C8" s="115" t="s">
        <v>285</v>
      </c>
      <c r="D8" s="115"/>
      <c r="E8" s="115"/>
      <c r="F8" s="115"/>
      <c r="G8" s="115"/>
      <c r="H8" s="115"/>
    </row>
    <row r="9" spans="2:8" ht="19" x14ac:dyDescent="0.25">
      <c r="B9" s="4" t="s">
        <v>286</v>
      </c>
      <c r="C9" s="115" t="s">
        <v>287</v>
      </c>
      <c r="D9" s="115"/>
      <c r="E9" s="115"/>
      <c r="F9" s="115"/>
      <c r="G9" s="115"/>
      <c r="H9" s="115"/>
    </row>
    <row r="10" spans="2:8" ht="19" x14ac:dyDescent="0.25">
      <c r="B10" s="4" t="s">
        <v>288</v>
      </c>
      <c r="C10" s="115" t="s">
        <v>289</v>
      </c>
      <c r="D10" s="115"/>
      <c r="E10" s="115"/>
      <c r="F10" s="115"/>
      <c r="G10" s="115"/>
      <c r="H10" s="115"/>
    </row>
    <row r="11" spans="2:8" ht="19" x14ac:dyDescent="0.25">
      <c r="B11" s="4" t="s">
        <v>290</v>
      </c>
      <c r="C11" s="115" t="s">
        <v>291</v>
      </c>
      <c r="D11" s="115"/>
      <c r="E11" s="115"/>
      <c r="F11" s="115"/>
      <c r="G11" s="115"/>
      <c r="H11" s="115"/>
    </row>
    <row r="12" spans="2:8" ht="19" x14ac:dyDescent="0.25">
      <c r="B12" s="4" t="s">
        <v>292</v>
      </c>
      <c r="C12" s="115" t="s">
        <v>293</v>
      </c>
      <c r="D12" s="115"/>
      <c r="E12" s="115"/>
      <c r="F12" s="115"/>
      <c r="G12" s="115"/>
      <c r="H12" s="115"/>
    </row>
    <row r="13" spans="2:8" ht="19" x14ac:dyDescent="0.25">
      <c r="B13" s="4" t="s">
        <v>294</v>
      </c>
      <c r="C13" s="115" t="s">
        <v>295</v>
      </c>
      <c r="D13" s="115"/>
      <c r="E13" s="115"/>
      <c r="F13" s="115"/>
      <c r="G13" s="115"/>
      <c r="H13" s="115"/>
    </row>
    <row r="14" spans="2:8" ht="19" x14ac:dyDescent="0.25">
      <c r="B14" s="4" t="s">
        <v>296</v>
      </c>
      <c r="C14" s="115" t="s">
        <v>297</v>
      </c>
      <c r="D14" s="115"/>
      <c r="E14" s="115"/>
      <c r="F14" s="115"/>
      <c r="G14" s="115"/>
      <c r="H14" s="115"/>
    </row>
    <row r="15" spans="2:8" ht="19" x14ac:dyDescent="0.25">
      <c r="B15" s="4" t="s">
        <v>298</v>
      </c>
      <c r="C15" s="115" t="s">
        <v>299</v>
      </c>
      <c r="D15" s="115"/>
      <c r="E15" s="115"/>
      <c r="F15" s="115"/>
      <c r="G15" s="115"/>
      <c r="H15" s="115"/>
    </row>
    <row r="16" spans="2:8" ht="19" x14ac:dyDescent="0.25">
      <c r="B16" s="4" t="s">
        <v>300</v>
      </c>
      <c r="C16" s="115" t="s">
        <v>301</v>
      </c>
      <c r="D16" s="115"/>
      <c r="E16" s="115"/>
      <c r="F16" s="115"/>
      <c r="G16" s="115"/>
      <c r="H16" s="115"/>
    </row>
    <row r="17" spans="2:8" ht="19" x14ac:dyDescent="0.25">
      <c r="B17" s="4" t="s">
        <v>302</v>
      </c>
      <c r="C17" s="115" t="s">
        <v>303</v>
      </c>
      <c r="D17" s="115"/>
      <c r="E17" s="115"/>
      <c r="F17" s="115"/>
      <c r="G17" s="115"/>
      <c r="H17" s="115"/>
    </row>
    <row r="18" spans="2:8" ht="19" x14ac:dyDescent="0.25">
      <c r="B18" s="4" t="s">
        <v>304</v>
      </c>
      <c r="C18" s="115" t="s">
        <v>305</v>
      </c>
      <c r="D18" s="115"/>
      <c r="E18" s="115"/>
      <c r="F18" s="115"/>
      <c r="G18" s="115"/>
      <c r="H18" s="115"/>
    </row>
    <row r="19" spans="2:8" ht="19" x14ac:dyDescent="0.25">
      <c r="B19" s="4" t="s">
        <v>306</v>
      </c>
      <c r="C19" s="115" t="s">
        <v>307</v>
      </c>
      <c r="D19" s="115"/>
      <c r="E19" s="115"/>
      <c r="F19" s="115"/>
      <c r="G19" s="115"/>
      <c r="H19" s="115"/>
    </row>
    <row r="20" spans="2:8" ht="19" x14ac:dyDescent="0.25">
      <c r="B20" s="4" t="s">
        <v>308</v>
      </c>
      <c r="C20" s="115" t="s">
        <v>309</v>
      </c>
      <c r="D20" s="115"/>
      <c r="E20" s="115"/>
      <c r="F20" s="115"/>
      <c r="G20" s="115"/>
      <c r="H20" s="115"/>
    </row>
  </sheetData>
  <mergeCells count="17">
    <mergeCell ref="C16:H16"/>
    <mergeCell ref="C17:H17"/>
    <mergeCell ref="C18:H18"/>
    <mergeCell ref="C19:H19"/>
    <mergeCell ref="C20:H20"/>
    <mergeCell ref="C15:H15"/>
    <mergeCell ref="B2:H2"/>
    <mergeCell ref="B3:H3"/>
    <mergeCell ref="B6:H6"/>
    <mergeCell ref="C7:H7"/>
    <mergeCell ref="C8:H8"/>
    <mergeCell ref="C9:H9"/>
    <mergeCell ref="C10:H10"/>
    <mergeCell ref="C11:H11"/>
    <mergeCell ref="C12:H12"/>
    <mergeCell ref="C13:H13"/>
    <mergeCell ref="C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0DD6-464B-0749-96EE-2AC06823DAFA}">
  <dimension ref="A1:F5"/>
  <sheetViews>
    <sheetView workbookViewId="0">
      <selection activeCell="G29" sqref="G29"/>
    </sheetView>
  </sheetViews>
  <sheetFormatPr baseColWidth="10" defaultRowHeight="15" x14ac:dyDescent="0.2"/>
  <cols>
    <col min="1" max="1" width="20.33203125" bestFit="1" customWidth="1"/>
    <col min="2" max="3" width="18" bestFit="1" customWidth="1"/>
    <col min="4" max="4" width="25" bestFit="1" customWidth="1"/>
    <col min="5" max="6" width="18" bestFit="1" customWidth="1"/>
  </cols>
  <sheetData>
    <row r="1" spans="1:6" x14ac:dyDescent="0.2">
      <c r="A1" s="113" t="s">
        <v>324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</row>
    <row r="2" spans="1:6" x14ac:dyDescent="0.2">
      <c r="A2" s="114" t="s">
        <v>50</v>
      </c>
      <c r="B2" s="1">
        <v>10850000</v>
      </c>
      <c r="C2" s="2">
        <v>11510765</v>
      </c>
      <c r="D2" s="2">
        <v>11399281.249999996</v>
      </c>
      <c r="E2" s="2">
        <v>12270475.49</v>
      </c>
      <c r="F2" s="2">
        <v>12577237.377249997</v>
      </c>
    </row>
    <row r="3" spans="1:6" x14ac:dyDescent="0.2">
      <c r="A3" s="114" t="s">
        <v>49</v>
      </c>
      <c r="B3" s="1">
        <v>16900000</v>
      </c>
      <c r="C3" s="2">
        <v>17929210</v>
      </c>
      <c r="D3" s="2">
        <v>17755562.5</v>
      </c>
      <c r="E3" s="2">
        <v>19112537.859999999</v>
      </c>
      <c r="F3" s="2">
        <v>19590351.306499999</v>
      </c>
    </row>
    <row r="4" spans="1:6" x14ac:dyDescent="0.2">
      <c r="A4" s="114" t="s">
        <v>48</v>
      </c>
      <c r="B4" s="1">
        <v>22200000</v>
      </c>
      <c r="C4" s="2">
        <v>23551980</v>
      </c>
      <c r="D4" s="2">
        <v>23323874.999999993</v>
      </c>
      <c r="E4" s="2">
        <v>25106410.68</v>
      </c>
      <c r="F4" s="2">
        <v>25734070.946999993</v>
      </c>
    </row>
    <row r="5" spans="1:6" x14ac:dyDescent="0.2">
      <c r="A5" s="114" t="s">
        <v>325</v>
      </c>
      <c r="B5" s="1">
        <v>49950000</v>
      </c>
      <c r="C5" s="2">
        <v>52991955</v>
      </c>
      <c r="D5" s="2">
        <v>52478718.749999985</v>
      </c>
      <c r="E5" s="2">
        <v>56489424.030000001</v>
      </c>
      <c r="F5" s="2">
        <v>57901659.630749986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D83A-291D-488F-A4B3-56FE200DE784}">
  <dimension ref="B1:C11"/>
  <sheetViews>
    <sheetView zoomScale="130" zoomScaleNormal="130" workbookViewId="0">
      <selection activeCell="B2" sqref="B2"/>
    </sheetView>
  </sheetViews>
  <sheetFormatPr baseColWidth="10" defaultColWidth="8.83203125" defaultRowHeight="15" x14ac:dyDescent="0.2"/>
  <cols>
    <col min="1" max="1" width="8.83203125" style="3"/>
    <col min="2" max="2" width="34.1640625" style="3" bestFit="1" customWidth="1"/>
    <col min="3" max="16384" width="8.83203125" style="3"/>
  </cols>
  <sheetData>
    <row r="1" spans="2:3" ht="19" x14ac:dyDescent="0.25">
      <c r="B1" s="5" t="s">
        <v>0</v>
      </c>
    </row>
    <row r="2" spans="2:3" ht="16" x14ac:dyDescent="0.2">
      <c r="B2" s="76" t="s">
        <v>1</v>
      </c>
    </row>
    <row r="4" spans="2:3" ht="16" x14ac:dyDescent="0.2">
      <c r="B4" s="75" t="s">
        <v>2</v>
      </c>
      <c r="C4" s="75" t="s">
        <v>177</v>
      </c>
    </row>
    <row r="5" spans="2:3" x14ac:dyDescent="0.2">
      <c r="B5" s="3" t="s">
        <v>3</v>
      </c>
      <c r="C5" s="6" t="s">
        <v>4</v>
      </c>
    </row>
    <row r="6" spans="2:3" x14ac:dyDescent="0.2">
      <c r="B6" s="3" t="s">
        <v>5</v>
      </c>
      <c r="C6" s="6">
        <v>2025</v>
      </c>
    </row>
    <row r="7" spans="2:3" x14ac:dyDescent="0.2">
      <c r="B7" s="3" t="s">
        <v>6</v>
      </c>
      <c r="C7" s="6">
        <v>2026</v>
      </c>
    </row>
    <row r="8" spans="2:3" x14ac:dyDescent="0.2">
      <c r="B8" s="3" t="s">
        <v>7</v>
      </c>
      <c r="C8" s="6">
        <v>2026</v>
      </c>
    </row>
    <row r="9" spans="2:3" x14ac:dyDescent="0.2">
      <c r="B9" s="3" t="s">
        <v>8</v>
      </c>
      <c r="C9" s="6">
        <v>2027</v>
      </c>
    </row>
    <row r="10" spans="2:3" x14ac:dyDescent="0.2">
      <c r="B10" s="3" t="s">
        <v>9</v>
      </c>
      <c r="C10" s="6">
        <v>2028</v>
      </c>
    </row>
    <row r="11" spans="2:3" x14ac:dyDescent="0.2">
      <c r="B11" s="8" t="s">
        <v>10</v>
      </c>
      <c r="C11" s="9" t="s">
        <v>11</v>
      </c>
    </row>
  </sheetData>
  <dataValidations count="1">
    <dataValidation type="list" allowBlank="1" showInputMessage="1" showErrorMessage="1" sqref="C4" xr:uid="{40B0F4C6-AFC8-4590-B14D-6002D6A6E58A}">
      <formula1>"Base, Upside, Downside"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4B2D-7EB9-4D56-9566-DF6D3DAE13E4}">
  <dimension ref="B1:C22"/>
  <sheetViews>
    <sheetView zoomScale="120" zoomScaleNormal="120" workbookViewId="0">
      <selection activeCell="E30" sqref="E30"/>
    </sheetView>
  </sheetViews>
  <sheetFormatPr baseColWidth="10" defaultColWidth="8.83203125" defaultRowHeight="15" x14ac:dyDescent="0.2"/>
  <cols>
    <col min="1" max="1" width="8.83203125" style="3"/>
    <col min="2" max="2" width="21.5" style="3" customWidth="1"/>
    <col min="3" max="3" width="14.6640625" style="3" bestFit="1" customWidth="1"/>
    <col min="4" max="16384" width="8.83203125" style="3"/>
  </cols>
  <sheetData>
    <row r="1" spans="2:3" ht="24" x14ac:dyDescent="0.3">
      <c r="B1" s="78" t="s">
        <v>0</v>
      </c>
    </row>
    <row r="2" spans="2:3" ht="19" x14ac:dyDescent="0.25">
      <c r="B2" s="77" t="s">
        <v>310</v>
      </c>
    </row>
    <row r="4" spans="2:3" x14ac:dyDescent="0.2">
      <c r="B4" s="18" t="s">
        <v>311</v>
      </c>
      <c r="C4" s="19"/>
    </row>
    <row r="5" spans="2:3" x14ac:dyDescent="0.2">
      <c r="B5" s="3" t="s">
        <v>155</v>
      </c>
      <c r="C5" s="10">
        <f>'P&amp;L'!B5</f>
        <v>49950000</v>
      </c>
    </row>
    <row r="6" spans="2:3" x14ac:dyDescent="0.2">
      <c r="B6" s="3" t="s">
        <v>236</v>
      </c>
      <c r="C6" s="10">
        <f>'P&amp;L'!B6</f>
        <v>34465500</v>
      </c>
    </row>
    <row r="7" spans="2:3" x14ac:dyDescent="0.2">
      <c r="B7" s="3" t="s">
        <v>183</v>
      </c>
      <c r="C7" s="10">
        <f>'P&amp;L'!B7</f>
        <v>15484500</v>
      </c>
    </row>
    <row r="8" spans="2:3" x14ac:dyDescent="0.2">
      <c r="B8" s="3" t="s">
        <v>184</v>
      </c>
      <c r="C8" s="11">
        <f>'P&amp;L'!B8</f>
        <v>0.31</v>
      </c>
    </row>
    <row r="9" spans="2:3" x14ac:dyDescent="0.2">
      <c r="B9" s="3" t="s">
        <v>187</v>
      </c>
      <c r="C9" s="12">
        <f>'P&amp;L'!B11</f>
        <v>7378000</v>
      </c>
    </row>
    <row r="10" spans="2:3" x14ac:dyDescent="0.2">
      <c r="B10" s="3" t="s">
        <v>188</v>
      </c>
      <c r="C10" s="12">
        <f>'P&amp;L'!B12</f>
        <v>8106500</v>
      </c>
    </row>
    <row r="11" spans="2:3" x14ac:dyDescent="0.2">
      <c r="B11" s="3" t="s">
        <v>189</v>
      </c>
      <c r="C11" s="13">
        <f>'P&amp;L'!B13</f>
        <v>0.16229229229229231</v>
      </c>
    </row>
    <row r="12" spans="2:3" x14ac:dyDescent="0.2">
      <c r="B12" s="3" t="s">
        <v>248</v>
      </c>
      <c r="C12" s="12">
        <f>'P&amp;L'!B18</f>
        <v>7906500</v>
      </c>
    </row>
    <row r="13" spans="2:3" x14ac:dyDescent="0.2">
      <c r="B13" s="3" t="s">
        <v>196</v>
      </c>
      <c r="C13" s="12">
        <f>'P&amp;L'!B20</f>
        <v>5929875</v>
      </c>
    </row>
    <row r="14" spans="2:3" x14ac:dyDescent="0.2">
      <c r="B14" s="3" t="s">
        <v>197</v>
      </c>
      <c r="C14" s="13">
        <f>'P&amp;L'!B21</f>
        <v>0.11871621621621621</v>
      </c>
    </row>
    <row r="16" spans="2:3" x14ac:dyDescent="0.2">
      <c r="B16" s="21" t="s">
        <v>312</v>
      </c>
      <c r="C16" s="22"/>
    </row>
    <row r="17" spans="2:3" x14ac:dyDescent="0.2">
      <c r="B17" s="3" t="s">
        <v>313</v>
      </c>
      <c r="C17" s="14">
        <f>Revenue_Model!C8</f>
        <v>247000</v>
      </c>
    </row>
    <row r="18" spans="2:3" x14ac:dyDescent="0.2">
      <c r="B18" s="3" t="s">
        <v>314</v>
      </c>
      <c r="C18" s="14">
        <f>Production_Model!F8</f>
        <v>253333.33333333334</v>
      </c>
    </row>
    <row r="19" spans="2:3" x14ac:dyDescent="0.2">
      <c r="B19" s="3" t="s">
        <v>315</v>
      </c>
      <c r="C19" s="3">
        <f>Headcount!B12</f>
        <v>60</v>
      </c>
    </row>
    <row r="20" spans="2:3" x14ac:dyDescent="0.2">
      <c r="B20" s="3" t="s">
        <v>172</v>
      </c>
      <c r="C20" s="15">
        <f>CapEx!B10</f>
        <v>1750000</v>
      </c>
    </row>
    <row r="21" spans="2:3" x14ac:dyDescent="0.2">
      <c r="B21" s="3" t="s">
        <v>265</v>
      </c>
      <c r="C21" s="16">
        <f>CapEx!B16</f>
        <v>3.5035035035035036E-2</v>
      </c>
    </row>
    <row r="22" spans="2:3" x14ac:dyDescent="0.2">
      <c r="B22" s="3" t="s">
        <v>125</v>
      </c>
      <c r="C22" s="13">
        <f>CapEx!B18</f>
        <v>0.90476190476190477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83F3-6621-49EC-8B5A-0157E0CE779E}">
  <dimension ref="B1:I16"/>
  <sheetViews>
    <sheetView zoomScale="130" zoomScaleNormal="130" workbookViewId="0">
      <selection activeCell="G9" sqref="G9"/>
    </sheetView>
  </sheetViews>
  <sheetFormatPr baseColWidth="10" defaultColWidth="8.83203125" defaultRowHeight="15" x14ac:dyDescent="0.2"/>
  <cols>
    <col min="1" max="1" width="8.83203125" style="3"/>
    <col min="2" max="2" width="14.5" style="3" bestFit="1" customWidth="1"/>
    <col min="3" max="3" width="8.83203125" style="3"/>
    <col min="4" max="4" width="11.83203125" style="3" bestFit="1" customWidth="1"/>
    <col min="5" max="5" width="12.83203125" style="3" bestFit="1" customWidth="1"/>
    <col min="6" max="7" width="9.33203125" style="3" bestFit="1" customWidth="1"/>
    <col min="8" max="8" width="9.33203125" style="3" customWidth="1"/>
    <col min="9" max="16384" width="8.83203125" style="3"/>
  </cols>
  <sheetData>
    <row r="1" spans="2:9" ht="19" x14ac:dyDescent="0.25">
      <c r="B1" s="5" t="s">
        <v>0</v>
      </c>
    </row>
    <row r="2" spans="2:9" ht="16" x14ac:dyDescent="0.2">
      <c r="B2" s="7" t="s">
        <v>260</v>
      </c>
    </row>
    <row r="4" spans="2:9" ht="16" x14ac:dyDescent="0.2">
      <c r="B4" s="30" t="s">
        <v>12</v>
      </c>
      <c r="C4" s="30" t="s">
        <v>13</v>
      </c>
      <c r="D4" s="30" t="s">
        <v>14</v>
      </c>
      <c r="E4" s="30" t="s">
        <v>15</v>
      </c>
      <c r="F4" s="30" t="s">
        <v>16</v>
      </c>
      <c r="G4" s="30" t="s">
        <v>17</v>
      </c>
      <c r="H4" s="29"/>
      <c r="I4" s="29"/>
    </row>
    <row r="5" spans="2:9" x14ac:dyDescent="0.2">
      <c r="B5" s="3" t="s">
        <v>19</v>
      </c>
      <c r="C5" s="23" t="s">
        <v>29</v>
      </c>
      <c r="D5" s="23">
        <v>0.06</v>
      </c>
      <c r="E5" s="23">
        <v>0.05</v>
      </c>
      <c r="F5" s="23">
        <v>7.0000000000000007E-2</v>
      </c>
      <c r="G5" s="23">
        <v>0.06</v>
      </c>
    </row>
    <row r="6" spans="2:9" x14ac:dyDescent="0.2">
      <c r="B6" s="3" t="s">
        <v>20</v>
      </c>
      <c r="C6" s="23" t="s">
        <v>29</v>
      </c>
      <c r="D6" s="23">
        <v>0.03</v>
      </c>
      <c r="E6" s="23">
        <v>2.5000000000000001E-2</v>
      </c>
      <c r="F6" s="23">
        <v>0.03</v>
      </c>
      <c r="G6" s="23">
        <v>0.03</v>
      </c>
    </row>
    <row r="7" spans="2:9" x14ac:dyDescent="0.2">
      <c r="B7" s="3" t="s">
        <v>21</v>
      </c>
      <c r="C7" s="23" t="s">
        <v>29</v>
      </c>
      <c r="D7" s="23">
        <v>0.03</v>
      </c>
      <c r="E7" s="23">
        <v>2.5000000000000001E-2</v>
      </c>
      <c r="F7" s="23">
        <v>0.04</v>
      </c>
      <c r="G7" s="23">
        <v>0.03</v>
      </c>
    </row>
    <row r="8" spans="2:9" x14ac:dyDescent="0.2">
      <c r="B8" s="3" t="s">
        <v>30</v>
      </c>
      <c r="C8" s="23">
        <v>0.31</v>
      </c>
      <c r="D8" s="23">
        <v>0.32</v>
      </c>
      <c r="E8" s="23">
        <v>0.31</v>
      </c>
      <c r="F8" s="23">
        <v>0.32500000000000001</v>
      </c>
      <c r="G8" s="23">
        <v>0.33500000000000002</v>
      </c>
    </row>
    <row r="9" spans="2:9" x14ac:dyDescent="0.2">
      <c r="B9" s="3" t="s">
        <v>31</v>
      </c>
      <c r="C9" s="23">
        <v>2.5000000000000001E-2</v>
      </c>
      <c r="D9" s="23">
        <v>2.4E-2</v>
      </c>
      <c r="E9" s="23">
        <v>2.5999999999999999E-2</v>
      </c>
      <c r="F9" s="23">
        <v>2.3E-2</v>
      </c>
      <c r="G9" s="23">
        <v>2.1999999999999999E-2</v>
      </c>
    </row>
    <row r="10" spans="2:9" x14ac:dyDescent="0.2">
      <c r="B10" s="3" t="s">
        <v>22</v>
      </c>
      <c r="C10" s="23" t="s">
        <v>29</v>
      </c>
      <c r="D10" s="23">
        <v>0.04</v>
      </c>
      <c r="E10" s="23">
        <v>0.04</v>
      </c>
      <c r="F10" s="23">
        <v>3.5000000000000003E-2</v>
      </c>
      <c r="G10" s="23">
        <v>3.5000000000000003E-2</v>
      </c>
    </row>
    <row r="11" spans="2:9" x14ac:dyDescent="0.2">
      <c r="B11" s="3" t="s">
        <v>23</v>
      </c>
      <c r="C11" s="23">
        <v>0.22</v>
      </c>
      <c r="D11" s="23">
        <v>0.22</v>
      </c>
      <c r="E11" s="23">
        <v>0.22</v>
      </c>
      <c r="F11" s="23">
        <v>0.22</v>
      </c>
      <c r="G11" s="23">
        <v>0.22</v>
      </c>
    </row>
    <row r="12" spans="2:9" x14ac:dyDescent="0.2">
      <c r="B12" s="3" t="s">
        <v>24</v>
      </c>
      <c r="C12" s="25">
        <v>48</v>
      </c>
      <c r="D12" s="25">
        <v>47</v>
      </c>
      <c r="E12" s="25">
        <v>49</v>
      </c>
      <c r="F12" s="25">
        <v>46</v>
      </c>
      <c r="G12" s="25">
        <v>45</v>
      </c>
    </row>
    <row r="13" spans="2:9" x14ac:dyDescent="0.2">
      <c r="B13" s="3" t="s">
        <v>25</v>
      </c>
      <c r="C13" s="25">
        <v>62</v>
      </c>
      <c r="D13" s="25">
        <v>60</v>
      </c>
      <c r="E13" s="25">
        <v>64</v>
      </c>
      <c r="F13" s="25">
        <v>59</v>
      </c>
      <c r="G13" s="25">
        <v>57</v>
      </c>
    </row>
    <row r="14" spans="2:9" x14ac:dyDescent="0.2">
      <c r="B14" s="3" t="s">
        <v>26</v>
      </c>
      <c r="C14" s="25">
        <v>42</v>
      </c>
      <c r="D14" s="25">
        <v>43</v>
      </c>
      <c r="E14" s="25">
        <v>44</v>
      </c>
      <c r="F14" s="25">
        <v>43</v>
      </c>
      <c r="G14" s="25">
        <v>42</v>
      </c>
    </row>
    <row r="15" spans="2:9" x14ac:dyDescent="0.2">
      <c r="B15" s="3" t="s">
        <v>27</v>
      </c>
      <c r="C15" s="23">
        <v>3.5000000000000003E-2</v>
      </c>
      <c r="D15" s="23">
        <v>0.04</v>
      </c>
      <c r="E15" s="23">
        <v>4.4999999999999998E-2</v>
      </c>
      <c r="F15" s="23">
        <v>0.04</v>
      </c>
      <c r="G15" s="23">
        <v>3.7999999999999999E-2</v>
      </c>
    </row>
    <row r="16" spans="2:9" x14ac:dyDescent="0.2">
      <c r="B16" s="3" t="s">
        <v>28</v>
      </c>
      <c r="C16" s="23">
        <v>0.25</v>
      </c>
      <c r="D16" s="23">
        <v>0.25</v>
      </c>
      <c r="E16" s="23">
        <v>0.25</v>
      </c>
      <c r="F16" s="23">
        <v>0.25</v>
      </c>
      <c r="G16" s="23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9FDB-42D1-436D-AD1B-74FB972FB2B4}">
  <dimension ref="C1:H6"/>
  <sheetViews>
    <sheetView zoomScale="120" zoomScaleNormal="120" workbookViewId="0">
      <selection activeCell="C2" sqref="C2"/>
    </sheetView>
  </sheetViews>
  <sheetFormatPr baseColWidth="10" defaultColWidth="8.83203125" defaultRowHeight="15" x14ac:dyDescent="0.2"/>
  <cols>
    <col min="1" max="2" width="8.83203125" style="3"/>
    <col min="3" max="3" width="15.5" style="3" customWidth="1"/>
    <col min="4" max="4" width="8.83203125" style="3"/>
    <col min="5" max="5" width="11" style="3" bestFit="1" customWidth="1"/>
    <col min="6" max="6" width="12" style="3" bestFit="1" customWidth="1"/>
    <col min="7" max="16384" width="8.83203125" style="3"/>
  </cols>
  <sheetData>
    <row r="1" spans="3:8" ht="19" x14ac:dyDescent="0.25">
      <c r="C1" s="5" t="s">
        <v>0</v>
      </c>
    </row>
    <row r="2" spans="3:8" ht="16" x14ac:dyDescent="0.2">
      <c r="C2" s="7" t="s">
        <v>259</v>
      </c>
    </row>
    <row r="4" spans="3:8" x14ac:dyDescent="0.2">
      <c r="C4" s="26" t="s">
        <v>32</v>
      </c>
      <c r="D4" s="26" t="s">
        <v>13</v>
      </c>
      <c r="E4" s="26" t="s">
        <v>14</v>
      </c>
      <c r="F4" s="26" t="s">
        <v>15</v>
      </c>
      <c r="G4" s="26" t="s">
        <v>16</v>
      </c>
      <c r="H4" s="26" t="s">
        <v>17</v>
      </c>
    </row>
    <row r="5" spans="3:8" x14ac:dyDescent="0.2">
      <c r="C5" s="27" t="s">
        <v>33</v>
      </c>
      <c r="D5" s="28">
        <v>1.08</v>
      </c>
      <c r="E5" s="28">
        <v>1.1000000000000001</v>
      </c>
      <c r="F5" s="28">
        <v>1.0900000000000001</v>
      </c>
      <c r="G5" s="28">
        <v>1.1100000000000001</v>
      </c>
      <c r="H5" s="28">
        <v>1.1200000000000001</v>
      </c>
    </row>
    <row r="6" spans="3:8" x14ac:dyDescent="0.2">
      <c r="C6" s="27" t="s">
        <v>34</v>
      </c>
      <c r="D6" s="28">
        <v>0.13800000000000001</v>
      </c>
      <c r="E6" s="28">
        <v>0.14000000000000001</v>
      </c>
      <c r="F6" s="28">
        <v>0.13900000000000001</v>
      </c>
      <c r="G6" s="28">
        <v>0.14199999999999999</v>
      </c>
      <c r="H6" s="28">
        <v>0.14499999999999999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5406-1EFB-47C5-9431-8AD3039A0625}">
  <dimension ref="B1:Q8"/>
  <sheetViews>
    <sheetView topLeftCell="J1" zoomScale="130" zoomScaleNormal="130" workbookViewId="0">
      <selection activeCell="D13" sqref="D13"/>
    </sheetView>
  </sheetViews>
  <sheetFormatPr baseColWidth="10" defaultColWidth="8.83203125" defaultRowHeight="15" x14ac:dyDescent="0.2"/>
  <cols>
    <col min="1" max="1" width="8.83203125" style="3"/>
    <col min="2" max="2" width="21" style="3" bestFit="1" customWidth="1"/>
    <col min="3" max="3" width="11.1640625" style="3" bestFit="1" customWidth="1"/>
    <col min="4" max="4" width="8.83203125" style="3"/>
    <col min="5" max="5" width="11.6640625" style="3" bestFit="1" customWidth="1"/>
    <col min="6" max="6" width="12.1640625" style="3" bestFit="1" customWidth="1"/>
    <col min="7" max="7" width="8.83203125" style="3"/>
    <col min="8" max="8" width="14.6640625" style="3" bestFit="1" customWidth="1"/>
    <col min="9" max="9" width="16.5" style="3" bestFit="1" customWidth="1"/>
    <col min="10" max="10" width="14.6640625" style="3" customWidth="1"/>
    <col min="11" max="11" width="19.33203125" style="3" bestFit="1" customWidth="1"/>
    <col min="12" max="12" width="11.1640625" style="3" bestFit="1" customWidth="1"/>
    <col min="13" max="13" width="8.83203125" style="3"/>
    <col min="14" max="14" width="14.6640625" style="3" bestFit="1" customWidth="1"/>
    <col min="15" max="15" width="11.1640625" style="3" bestFit="1" customWidth="1"/>
    <col min="16" max="16" width="8.83203125" style="3"/>
    <col min="17" max="17" width="14.6640625" style="3" bestFit="1" customWidth="1"/>
    <col min="18" max="16384" width="8.83203125" style="3"/>
  </cols>
  <sheetData>
    <row r="1" spans="2:17" ht="19" x14ac:dyDescent="0.25">
      <c r="B1" s="5" t="s">
        <v>0</v>
      </c>
    </row>
    <row r="2" spans="2:17" x14ac:dyDescent="0.2">
      <c r="B2" s="31" t="s">
        <v>158</v>
      </c>
    </row>
    <row r="4" spans="2:17" x14ac:dyDescent="0.2">
      <c r="B4" s="18" t="s">
        <v>35</v>
      </c>
      <c r="C4" s="18" t="s">
        <v>36</v>
      </c>
      <c r="D4" s="18" t="s">
        <v>37</v>
      </c>
      <c r="E4" s="18" t="s">
        <v>38</v>
      </c>
      <c r="F4" s="18" t="s">
        <v>39</v>
      </c>
      <c r="G4" s="18" t="s">
        <v>40</v>
      </c>
      <c r="H4" s="18" t="s">
        <v>41</v>
      </c>
      <c r="I4" s="18" t="s">
        <v>159</v>
      </c>
      <c r="J4" s="18" t="s">
        <v>160</v>
      </c>
      <c r="K4" s="18" t="s">
        <v>161</v>
      </c>
      <c r="L4" s="18" t="s">
        <v>42</v>
      </c>
      <c r="M4" s="18" t="s">
        <v>43</v>
      </c>
      <c r="N4" s="18" t="s">
        <v>44</v>
      </c>
      <c r="O4" s="18" t="s">
        <v>45</v>
      </c>
      <c r="P4" s="18" t="s">
        <v>46</v>
      </c>
      <c r="Q4" s="18" t="s">
        <v>47</v>
      </c>
    </row>
    <row r="5" spans="2:17" x14ac:dyDescent="0.2">
      <c r="B5" s="3" t="s">
        <v>48</v>
      </c>
      <c r="C5" s="32">
        <v>120000</v>
      </c>
      <c r="D5" s="36">
        <v>185</v>
      </c>
      <c r="E5" s="36">
        <f>C5*D5</f>
        <v>22200000</v>
      </c>
      <c r="F5" s="32">
        <f>C5*(1+Assumptions!$D$7)</f>
        <v>123600</v>
      </c>
      <c r="G5" s="37">
        <f>D5*(1+Assumptions!$D$6)</f>
        <v>190.55</v>
      </c>
      <c r="H5" s="33">
        <f>F5*G5</f>
        <v>23551980</v>
      </c>
      <c r="I5" s="34">
        <f>C5*(1+Assumptions!$E$6)</f>
        <v>122999.99999999999</v>
      </c>
      <c r="J5" s="33">
        <f>D5*(1+Assumptions!$E$6)</f>
        <v>189.62499999999997</v>
      </c>
      <c r="K5" s="33">
        <f>I5*J5</f>
        <v>23323874.999999993</v>
      </c>
      <c r="L5" s="35">
        <f>I5*(1+Assumptions!$F$7)</f>
        <v>127919.99999999999</v>
      </c>
      <c r="M5" s="33">
        <f>G5*(1+Assumptions!$F$6)</f>
        <v>196.26650000000001</v>
      </c>
      <c r="N5" s="33">
        <f>L5*M5</f>
        <v>25106410.68</v>
      </c>
      <c r="O5" s="35">
        <f>L5*(1+Assumptions!$G$7)</f>
        <v>131757.59999999998</v>
      </c>
      <c r="P5" s="33">
        <f>J5*(1+Assumptions!$G$6)</f>
        <v>195.31374999999997</v>
      </c>
      <c r="Q5" s="33">
        <f>O5*P5</f>
        <v>25734070.946999993</v>
      </c>
    </row>
    <row r="6" spans="2:17" x14ac:dyDescent="0.2">
      <c r="B6" s="3" t="s">
        <v>49</v>
      </c>
      <c r="C6" s="32">
        <v>65000</v>
      </c>
      <c r="D6" s="36">
        <v>260</v>
      </c>
      <c r="E6" s="36">
        <f t="shared" ref="E6:E7" si="0">C6*D6</f>
        <v>16900000</v>
      </c>
      <c r="F6" s="32">
        <f>C6*(1+Assumptions!$D$7)</f>
        <v>66950</v>
      </c>
      <c r="G6" s="37">
        <f>D6*(1+Assumptions!$D$6)</f>
        <v>267.8</v>
      </c>
      <c r="H6" s="33">
        <f t="shared" ref="H6:H7" si="1">F6*G6</f>
        <v>17929210</v>
      </c>
      <c r="I6" s="34">
        <f>C6*(1+Assumptions!$E$6)</f>
        <v>66625</v>
      </c>
      <c r="J6" s="33">
        <f>D6*(1+Assumptions!$E$6)</f>
        <v>266.5</v>
      </c>
      <c r="K6" s="33">
        <f>I6*J6</f>
        <v>17755562.5</v>
      </c>
      <c r="L6" s="35">
        <f>I6*(1+Assumptions!$F$7)</f>
        <v>69290</v>
      </c>
      <c r="M6" s="33">
        <f>G6*(1+Assumptions!$F$6)</f>
        <v>275.834</v>
      </c>
      <c r="N6" s="33">
        <f t="shared" ref="N6:N7" si="2">L6*M6</f>
        <v>19112537.859999999</v>
      </c>
      <c r="O6" s="35">
        <f>L6*(1+Assumptions!$G$7)</f>
        <v>71368.7</v>
      </c>
      <c r="P6" s="33">
        <f>J6*(1+Assumptions!$G$6)</f>
        <v>274.495</v>
      </c>
      <c r="Q6" s="33">
        <f t="shared" ref="Q6:Q7" si="3">O6*P6</f>
        <v>19590351.306499999</v>
      </c>
    </row>
    <row r="7" spans="2:17" ht="16" thickBot="1" x14ac:dyDescent="0.25">
      <c r="B7" s="3" t="s">
        <v>50</v>
      </c>
      <c r="C7" s="32">
        <v>62000</v>
      </c>
      <c r="D7" s="36">
        <v>175</v>
      </c>
      <c r="E7" s="36">
        <f t="shared" si="0"/>
        <v>10850000</v>
      </c>
      <c r="F7" s="32">
        <f>C7*(1+Assumptions!$D$7)</f>
        <v>63860</v>
      </c>
      <c r="G7" s="37">
        <f>D7*(1+Assumptions!$D$6)</f>
        <v>180.25</v>
      </c>
      <c r="H7" s="33">
        <f t="shared" si="1"/>
        <v>11510765</v>
      </c>
      <c r="I7" s="34">
        <f>C7*(1+Assumptions!$E$6)</f>
        <v>63549.999999999993</v>
      </c>
      <c r="J7" s="33">
        <f>D7*(1+Assumptions!$E$6)</f>
        <v>179.37499999999997</v>
      </c>
      <c r="K7" s="33">
        <f t="shared" ref="K7" si="4">I7*J7</f>
        <v>11399281.249999996</v>
      </c>
      <c r="L7" s="35">
        <f>I7*(1+Assumptions!$F$7)</f>
        <v>66092</v>
      </c>
      <c r="M7" s="33">
        <f>G7*(1+Assumptions!$F$6)</f>
        <v>185.6575</v>
      </c>
      <c r="N7" s="33">
        <f t="shared" si="2"/>
        <v>12270475.49</v>
      </c>
      <c r="O7" s="35">
        <f>L7*(1+Assumptions!$G$7)</f>
        <v>68074.759999999995</v>
      </c>
      <c r="P7" s="33">
        <f>J7*(1+Assumptions!$G$6)</f>
        <v>184.75624999999997</v>
      </c>
      <c r="Q7" s="33">
        <f t="shared" si="3"/>
        <v>12577237.377249997</v>
      </c>
    </row>
    <row r="8" spans="2:17" x14ac:dyDescent="0.2">
      <c r="B8" s="38" t="s">
        <v>256</v>
      </c>
      <c r="C8" s="39">
        <f>SUM(C5:C7)</f>
        <v>247000</v>
      </c>
      <c r="D8" s="38"/>
      <c r="E8" s="40">
        <f>SUM(E5:E7)</f>
        <v>49950000</v>
      </c>
      <c r="F8" s="39">
        <f>SUM(F5:F7)</f>
        <v>254410</v>
      </c>
      <c r="G8" s="38"/>
      <c r="H8" s="41">
        <f>SUM(H5:H7)</f>
        <v>52991955</v>
      </c>
      <c r="I8" s="39">
        <f>SUM(I5:I7)</f>
        <v>253175</v>
      </c>
      <c r="J8" s="41"/>
      <c r="K8" s="41">
        <f>SUM(K5:K7)</f>
        <v>52478718.749999985</v>
      </c>
      <c r="L8" s="39">
        <f>SUM(L5:L7)</f>
        <v>263302</v>
      </c>
      <c r="M8" s="38"/>
      <c r="N8" s="41">
        <f>SUM(N5:N7)</f>
        <v>56489424.030000001</v>
      </c>
      <c r="O8" s="39">
        <f>SUM(O5:O7)</f>
        <v>271201.06</v>
      </c>
      <c r="P8" s="38"/>
      <c r="Q8" s="41">
        <f>SUM(Q5:Q7)</f>
        <v>57901659.630749986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2433-9FC1-4791-843E-3D32F61D38D2}">
  <dimension ref="B1:L8"/>
  <sheetViews>
    <sheetView topLeftCell="B1" zoomScale="130" zoomScaleNormal="130" workbookViewId="0">
      <selection activeCell="F12" sqref="F12"/>
    </sheetView>
  </sheetViews>
  <sheetFormatPr baseColWidth="10" defaultColWidth="8.83203125" defaultRowHeight="15" x14ac:dyDescent="0.2"/>
  <cols>
    <col min="1" max="1" width="8.83203125" style="3"/>
    <col min="2" max="2" width="20.33203125" style="3" bestFit="1" customWidth="1"/>
    <col min="3" max="3" width="14.1640625" style="3" bestFit="1" customWidth="1"/>
    <col min="4" max="4" width="13" style="3" bestFit="1" customWidth="1"/>
    <col min="5" max="5" width="11.5" style="3" bestFit="1" customWidth="1"/>
    <col min="6" max="6" width="20" style="3" bestFit="1" customWidth="1"/>
    <col min="7" max="8" width="21" style="3" bestFit="1" customWidth="1"/>
    <col min="9" max="10" width="18" style="3" bestFit="1" customWidth="1"/>
    <col min="11" max="16384" width="8.83203125" style="3"/>
  </cols>
  <sheetData>
    <row r="1" spans="2:12" ht="19" x14ac:dyDescent="0.25">
      <c r="B1" s="5" t="s">
        <v>0</v>
      </c>
      <c r="L1" s="42"/>
    </row>
    <row r="2" spans="2:12" ht="16" x14ac:dyDescent="0.2">
      <c r="B2" s="7" t="s">
        <v>57</v>
      </c>
      <c r="C2" s="43"/>
      <c r="D2" s="14"/>
      <c r="E2" s="16"/>
      <c r="F2" s="14"/>
      <c r="G2" s="35"/>
    </row>
    <row r="3" spans="2:12" x14ac:dyDescent="0.2">
      <c r="C3" s="43"/>
      <c r="D3" s="14"/>
      <c r="E3" s="16"/>
      <c r="F3" s="14"/>
      <c r="G3" s="35"/>
    </row>
    <row r="4" spans="2:12" x14ac:dyDescent="0.2">
      <c r="B4" s="18" t="s">
        <v>35</v>
      </c>
      <c r="C4" s="46" t="s">
        <v>51</v>
      </c>
      <c r="D4" s="47" t="s">
        <v>58</v>
      </c>
      <c r="E4" s="48" t="s">
        <v>59</v>
      </c>
      <c r="F4" s="47" t="s">
        <v>60</v>
      </c>
      <c r="G4" s="49" t="s">
        <v>53</v>
      </c>
      <c r="H4" s="18" t="s">
        <v>54</v>
      </c>
      <c r="I4" s="18" t="s">
        <v>55</v>
      </c>
      <c r="J4" s="18" t="s">
        <v>56</v>
      </c>
    </row>
    <row r="5" spans="2:12" x14ac:dyDescent="0.2">
      <c r="B5" s="3" t="s">
        <v>48</v>
      </c>
      <c r="C5" s="43">
        <v>120000</v>
      </c>
      <c r="D5" s="13">
        <f>Assumptions!$C$9</f>
        <v>2.5000000000000001E-2</v>
      </c>
      <c r="E5" s="24">
        <f>1-D5</f>
        <v>0.97499999999999998</v>
      </c>
      <c r="F5" s="44">
        <f>C5/E5</f>
        <v>123076.92307692308</v>
      </c>
      <c r="G5" s="14">
        <f>C5*(1+Assumptions!$D$7)/(1-Assumptions!$D$9)</f>
        <v>126639.34426229508</v>
      </c>
      <c r="H5" s="35">
        <f>G5*(1+Assumptions!$E$7)/(1-Assumptions!$E$9)</f>
        <v>133270.35715487931</v>
      </c>
      <c r="I5" s="35">
        <f>H5*(1+Assumptions!$F$7)/(1-Assumptions!$F$9)</f>
        <v>141864.04446374052</v>
      </c>
      <c r="J5" s="35">
        <f>I5*(1+Assumptions!$G$7)/(1-Assumptions!$G$9)</f>
        <v>149406.91799350994</v>
      </c>
    </row>
    <row r="6" spans="2:12" x14ac:dyDescent="0.2">
      <c r="B6" s="3" t="s">
        <v>49</v>
      </c>
      <c r="C6" s="3">
        <v>65000</v>
      </c>
      <c r="D6" s="13">
        <f>Assumptions!$C$9</f>
        <v>2.5000000000000001E-2</v>
      </c>
      <c r="E6" s="24">
        <f t="shared" ref="E6:E7" si="0">1-D6</f>
        <v>0.97499999999999998</v>
      </c>
      <c r="F6" s="44">
        <f t="shared" ref="F6:F7" si="1">C6/E6</f>
        <v>66666.666666666672</v>
      </c>
      <c r="G6" s="14">
        <f>C6*(1+Assumptions!$D$7)/(1-Assumptions!$D$9)</f>
        <v>68596.311475409835</v>
      </c>
      <c r="H6" s="35">
        <f>G6*(1+Assumptions!$E$7)/(1-Assumptions!$E$9)</f>
        <v>72188.110125559615</v>
      </c>
      <c r="I6" s="35">
        <f>H6*(1+Assumptions!$F$7)/(1-Assumptions!$F$9)</f>
        <v>76843.0240845261</v>
      </c>
      <c r="J6" s="35">
        <f>I6*(1+Assumptions!$G$7)/(1-Assumptions!$G$9)</f>
        <v>80928.747246484549</v>
      </c>
    </row>
    <row r="7" spans="2:12" ht="16" thickBot="1" x14ac:dyDescent="0.25">
      <c r="B7" s="3" t="s">
        <v>50</v>
      </c>
      <c r="C7" s="3">
        <v>62000</v>
      </c>
      <c r="D7" s="13">
        <f>Assumptions!$C$9</f>
        <v>2.5000000000000001E-2</v>
      </c>
      <c r="E7" s="24">
        <f t="shared" si="0"/>
        <v>0.97499999999999998</v>
      </c>
      <c r="F7" s="44">
        <f t="shared" si="1"/>
        <v>63589.743589743593</v>
      </c>
      <c r="G7" s="14">
        <f>C7*(1+Assumptions!$D$7)/(1-Assumptions!$D$9)</f>
        <v>65430.327868852459</v>
      </c>
      <c r="H7" s="35">
        <f>G7*(1+Assumptions!$E$7)/(1-Assumptions!$E$9)</f>
        <v>68856.351196687639</v>
      </c>
      <c r="I7" s="35">
        <f>H7*(1+Assumptions!$F$7)/(1-Assumptions!$F$9)</f>
        <v>73296.422972932603</v>
      </c>
      <c r="J7" s="35">
        <f>I7*(1+Assumptions!$G$7)/(1-Assumptions!$G$9)</f>
        <v>77193.57429664681</v>
      </c>
    </row>
    <row r="8" spans="2:12" x14ac:dyDescent="0.2">
      <c r="B8" s="45"/>
      <c r="C8" s="45"/>
      <c r="D8" s="45"/>
      <c r="E8" s="45"/>
      <c r="F8" s="112">
        <f>SUM(F5:F7)</f>
        <v>253333.33333333334</v>
      </c>
      <c r="G8" s="112">
        <f>SUM(G5:G7)</f>
        <v>260665.98360655736</v>
      </c>
      <c r="H8" s="112">
        <f>SUM(H5:H7)</f>
        <v>274314.81847712654</v>
      </c>
      <c r="I8" s="112">
        <f>SUM(I5:I7)</f>
        <v>292003.49152119923</v>
      </c>
      <c r="J8" s="112">
        <f>SUM(J5:J7)</f>
        <v>307529.23953664128</v>
      </c>
      <c r="K8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E1E2-E84A-43C8-A74E-07B98D052BDD}">
  <dimension ref="A1:V21"/>
  <sheetViews>
    <sheetView topLeftCell="C1" zoomScale="130" zoomScaleNormal="130" workbookViewId="0">
      <selection activeCell="M11" sqref="M11"/>
    </sheetView>
  </sheetViews>
  <sheetFormatPr baseColWidth="10" defaultColWidth="8.83203125" defaultRowHeight="15" x14ac:dyDescent="0.2"/>
  <cols>
    <col min="1" max="1" width="25.33203125" style="3" bestFit="1" customWidth="1"/>
    <col min="2" max="2" width="12.6640625" style="3" customWidth="1"/>
    <col min="3" max="3" width="12.1640625" style="3" bestFit="1" customWidth="1"/>
    <col min="4" max="5" width="13.6640625" style="3" bestFit="1" customWidth="1"/>
    <col min="6" max="6" width="14.6640625" style="3" bestFit="1" customWidth="1"/>
    <col min="7" max="7" width="12.33203125" style="3" bestFit="1" customWidth="1"/>
    <col min="8" max="8" width="14.6640625" style="3" bestFit="1" customWidth="1"/>
    <col min="9" max="9" width="7.33203125" style="3" bestFit="1" customWidth="1"/>
    <col min="10" max="10" width="13.83203125" style="3" bestFit="1" customWidth="1"/>
    <col min="11" max="14" width="13.83203125" style="3" customWidth="1"/>
    <col min="15" max="17" width="8.83203125" style="3"/>
    <col min="18" max="18" width="13.6640625" style="3" bestFit="1" customWidth="1"/>
    <col min="19" max="21" width="8.83203125" style="3"/>
    <col min="22" max="22" width="13.6640625" style="3" bestFit="1" customWidth="1"/>
    <col min="23" max="16384" width="8.83203125" style="3"/>
  </cols>
  <sheetData>
    <row r="1" spans="1:22" ht="19" x14ac:dyDescent="0.25">
      <c r="A1" s="5" t="s">
        <v>0</v>
      </c>
    </row>
    <row r="2" spans="1:22" ht="16" x14ac:dyDescent="0.2">
      <c r="A2" s="7" t="s">
        <v>316</v>
      </c>
    </row>
    <row r="3" spans="1:22" ht="16" x14ac:dyDescent="0.2">
      <c r="A3" s="7"/>
    </row>
    <row r="4" spans="1:22" x14ac:dyDescent="0.2">
      <c r="A4" s="31" t="s">
        <v>317</v>
      </c>
      <c r="B4" s="54">
        <f>3%</f>
        <v>0.03</v>
      </c>
    </row>
    <row r="5" spans="1:22" x14ac:dyDescent="0.2">
      <c r="A5" s="31" t="s">
        <v>318</v>
      </c>
      <c r="B5" s="55">
        <v>0.04</v>
      </c>
    </row>
    <row r="6" spans="1:22" x14ac:dyDescent="0.2">
      <c r="A6" s="31" t="s">
        <v>319</v>
      </c>
      <c r="B6" s="56">
        <v>3.5000000000000003E-2</v>
      </c>
    </row>
    <row r="7" spans="1:22" x14ac:dyDescent="0.2">
      <c r="A7" s="8"/>
      <c r="B7" s="16"/>
    </row>
    <row r="8" spans="1:22" s="27" customFormat="1" x14ac:dyDescent="0.2">
      <c r="A8" s="21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1" t="s">
        <v>68</v>
      </c>
      <c r="I8" s="21" t="s">
        <v>69</v>
      </c>
      <c r="J8" s="21" t="s">
        <v>70</v>
      </c>
      <c r="K8" s="21" t="s">
        <v>208</v>
      </c>
      <c r="L8" s="21" t="s">
        <v>205</v>
      </c>
      <c r="M8" s="21" t="s">
        <v>206</v>
      </c>
      <c r="N8" s="21" t="s">
        <v>207</v>
      </c>
      <c r="O8" s="21" t="s">
        <v>71</v>
      </c>
      <c r="P8" s="21" t="s">
        <v>72</v>
      </c>
      <c r="Q8" s="21" t="s">
        <v>73</v>
      </c>
      <c r="R8" s="21" t="s">
        <v>74</v>
      </c>
      <c r="S8" s="21" t="s">
        <v>75</v>
      </c>
      <c r="T8" s="21" t="s">
        <v>76</v>
      </c>
      <c r="U8" s="21" t="s">
        <v>77</v>
      </c>
      <c r="V8" s="21" t="s">
        <v>78</v>
      </c>
    </row>
    <row r="9" spans="1:22" x14ac:dyDescent="0.2">
      <c r="A9" s="3" t="s">
        <v>79</v>
      </c>
      <c r="B9" s="3" t="s">
        <v>80</v>
      </c>
      <c r="C9" s="3" t="s">
        <v>4</v>
      </c>
      <c r="D9" s="43">
        <v>120000</v>
      </c>
      <c r="E9" s="3">
        <v>0.75</v>
      </c>
      <c r="F9" s="15">
        <f>D9*E9</f>
        <v>90000</v>
      </c>
      <c r="G9" s="3">
        <f>D9*(1+3%)</f>
        <v>123600</v>
      </c>
      <c r="H9" s="3">
        <f>E9*(1+4%)</f>
        <v>0.78</v>
      </c>
      <c r="I9" s="50">
        <v>1</v>
      </c>
      <c r="J9" s="10">
        <f>G9*H9*I9</f>
        <v>96408</v>
      </c>
      <c r="K9" s="51">
        <f>D9*(1+Assumptions!$E$7)</f>
        <v>122999.99999999999</v>
      </c>
      <c r="L9" s="10">
        <f>E9*(1+$B$5)</f>
        <v>0.78</v>
      </c>
      <c r="M9" s="10">
        <v>1</v>
      </c>
      <c r="N9" s="10">
        <f>M9*L9*K9</f>
        <v>95939.999999999985</v>
      </c>
      <c r="O9" s="3">
        <f>G9*(1+4%)</f>
        <v>128544</v>
      </c>
      <c r="P9" s="3">
        <f>H9*1.035</f>
        <v>0.80730000000000002</v>
      </c>
      <c r="Q9" s="50">
        <f>I9</f>
        <v>1</v>
      </c>
      <c r="R9" s="10">
        <f>O9*P9*Q9</f>
        <v>103773.57120000001</v>
      </c>
      <c r="S9" s="3">
        <f>O9*(1+3%)</f>
        <v>132400.32000000001</v>
      </c>
      <c r="T9" s="3">
        <f>P9*1.03</f>
        <v>0.83151900000000001</v>
      </c>
      <c r="U9" s="3">
        <f>1</f>
        <v>1</v>
      </c>
      <c r="V9" s="10">
        <f>S9*T9*U9</f>
        <v>110093.38168608</v>
      </c>
    </row>
    <row r="10" spans="1:22" x14ac:dyDescent="0.2">
      <c r="A10" s="3" t="s">
        <v>81</v>
      </c>
      <c r="B10" s="3" t="s">
        <v>82</v>
      </c>
      <c r="C10" s="3" t="s">
        <v>83</v>
      </c>
      <c r="D10" s="43">
        <v>70000</v>
      </c>
      <c r="E10" s="3">
        <v>5.2</v>
      </c>
      <c r="F10" s="15">
        <f>D10*E10*FX_Assumptions!D5</f>
        <v>393120</v>
      </c>
      <c r="G10" s="3">
        <f t="shared" ref="G10:G11" si="0">D10*(1+3%)</f>
        <v>72100</v>
      </c>
      <c r="H10" s="3">
        <f t="shared" ref="H10:H11" si="1">E10*(1+4%)</f>
        <v>5.4080000000000004</v>
      </c>
      <c r="I10" s="50">
        <f>FX_Assumptions!$F5</f>
        <v>1.0900000000000001</v>
      </c>
      <c r="J10" s="10">
        <f t="shared" ref="J10:J11" si="2">G10*H10*I10</f>
        <v>425009.31200000009</v>
      </c>
      <c r="K10" s="51">
        <f>D10*(1+Assumptions!$E$7)</f>
        <v>71750</v>
      </c>
      <c r="L10" s="10">
        <f t="shared" ref="L10:L11" si="3">E10*(1+$B$5)</f>
        <v>5.4080000000000004</v>
      </c>
      <c r="M10" s="10">
        <f>FX_Assumptions!F6</f>
        <v>0.13900000000000001</v>
      </c>
      <c r="N10" s="10">
        <f t="shared" ref="N10:N11" si="4">M10*L10*K10</f>
        <v>53935.33600000001</v>
      </c>
      <c r="O10" s="3">
        <f t="shared" ref="O10:O11" si="5">G10*(1+4%)</f>
        <v>74984</v>
      </c>
      <c r="P10" s="3">
        <f t="shared" ref="P10:P11" si="6">H10*1.035</f>
        <v>5.5972799999999996</v>
      </c>
      <c r="Q10" s="3">
        <f>FX_Assumptions!$G5</f>
        <v>1.1100000000000001</v>
      </c>
      <c r="R10" s="10">
        <f t="shared" ref="R10:R11" si="7">O10*P10*Q10</f>
        <v>465874.15230720001</v>
      </c>
      <c r="S10" s="3">
        <f t="shared" ref="S10:S11" si="8">O10*(1+3%)</f>
        <v>77233.52</v>
      </c>
      <c r="T10" s="3">
        <f t="shared" ref="T10:T11" si="9">P10*1.03</f>
        <v>5.7651984000000001</v>
      </c>
      <c r="U10" s="3">
        <f>FX_Assumptions!$H5</f>
        <v>1.1200000000000001</v>
      </c>
      <c r="V10" s="10">
        <f t="shared" ref="V10:V11" si="10">S10*T10*U10</f>
        <v>498698.55384201225</v>
      </c>
    </row>
    <row r="11" spans="1:22" ht="16" thickBot="1" x14ac:dyDescent="0.25">
      <c r="A11" s="3" t="s">
        <v>84</v>
      </c>
      <c r="B11" s="3" t="s">
        <v>85</v>
      </c>
      <c r="C11" s="3" t="s">
        <v>86</v>
      </c>
      <c r="D11" s="43">
        <v>180000</v>
      </c>
      <c r="E11" s="3">
        <v>16.5</v>
      </c>
      <c r="F11" s="15">
        <f>D11*E11*FX_Assumptions!D6</f>
        <v>409860.00000000006</v>
      </c>
      <c r="G11" s="3">
        <f t="shared" si="0"/>
        <v>185400</v>
      </c>
      <c r="H11" s="3">
        <f t="shared" si="1"/>
        <v>17.16</v>
      </c>
      <c r="I11" s="50">
        <f>FX_Assumptions!$F6</f>
        <v>0.13900000000000001</v>
      </c>
      <c r="J11" s="10">
        <f t="shared" si="2"/>
        <v>442223.49600000004</v>
      </c>
      <c r="K11" s="51">
        <f>D11*(1+Assumptions!$E$7)</f>
        <v>184499.99999999997</v>
      </c>
      <c r="L11" s="10">
        <f t="shared" si="3"/>
        <v>17.16</v>
      </c>
      <c r="M11" s="10">
        <v>0</v>
      </c>
      <c r="N11" s="10">
        <f t="shared" si="4"/>
        <v>0</v>
      </c>
      <c r="O11" s="3">
        <f t="shared" si="5"/>
        <v>192816</v>
      </c>
      <c r="P11" s="3">
        <f t="shared" si="6"/>
        <v>17.7606</v>
      </c>
      <c r="Q11" s="3">
        <f>FX_Assumptions!$G6</f>
        <v>0.14199999999999999</v>
      </c>
      <c r="R11" s="10">
        <f t="shared" si="7"/>
        <v>486282.95464319992</v>
      </c>
      <c r="S11" s="3">
        <f t="shared" si="8"/>
        <v>198600.48</v>
      </c>
      <c r="T11" s="3">
        <f t="shared" si="9"/>
        <v>18.293417999999999</v>
      </c>
      <c r="U11" s="3">
        <f>FX_Assumptions!$H6</f>
        <v>0.14499999999999999</v>
      </c>
      <c r="V11" s="10">
        <f t="shared" si="10"/>
        <v>526796.83136789268</v>
      </c>
    </row>
    <row r="12" spans="1:22" x14ac:dyDescent="0.2">
      <c r="A12" s="38" t="s">
        <v>87</v>
      </c>
      <c r="B12" s="38"/>
      <c r="C12" s="38"/>
      <c r="D12" s="38"/>
      <c r="E12" s="38"/>
      <c r="F12" s="57">
        <f>SUM(F9:F11)</f>
        <v>892980</v>
      </c>
      <c r="G12" s="38"/>
      <c r="H12" s="38"/>
      <c r="I12" s="38"/>
      <c r="J12" s="58">
        <f>SUM(J9:J11)</f>
        <v>963640.80800000019</v>
      </c>
      <c r="K12" s="58"/>
      <c r="L12" s="58"/>
      <c r="M12" s="58"/>
      <c r="N12" s="58">
        <f>SUM(N9:N11)</f>
        <v>149875.33600000001</v>
      </c>
      <c r="O12" s="38"/>
      <c r="P12" s="38"/>
      <c r="Q12" s="38"/>
      <c r="R12" s="41">
        <f>SUM(R9:R11)</f>
        <v>1055930.6781504001</v>
      </c>
      <c r="S12" s="38"/>
      <c r="T12" s="38"/>
      <c r="U12" s="38"/>
      <c r="V12" s="41">
        <f>SUM(V9:V11)</f>
        <v>1135588.7668959848</v>
      </c>
    </row>
    <row r="15" spans="1:22" x14ac:dyDescent="0.2">
      <c r="A15" s="8" t="s">
        <v>88</v>
      </c>
    </row>
    <row r="16" spans="1:22" x14ac:dyDescent="0.2">
      <c r="A16" s="18" t="s">
        <v>89</v>
      </c>
      <c r="B16" s="18" t="s">
        <v>13</v>
      </c>
      <c r="C16" s="18">
        <v>2026</v>
      </c>
      <c r="D16" s="18">
        <v>2027</v>
      </c>
      <c r="E16" s="18">
        <v>2028</v>
      </c>
    </row>
    <row r="17" spans="1:5" x14ac:dyDescent="0.2">
      <c r="A17" s="3" t="s">
        <v>87</v>
      </c>
      <c r="B17" s="52">
        <f>F12</f>
        <v>892980</v>
      </c>
      <c r="C17" s="12">
        <f>J12</f>
        <v>963640.80800000019</v>
      </c>
      <c r="D17" s="12">
        <f>R12</f>
        <v>1055930.6781504001</v>
      </c>
      <c r="E17" s="12">
        <f>V12</f>
        <v>1135588.7668959848</v>
      </c>
    </row>
    <row r="18" spans="1:5" x14ac:dyDescent="0.2">
      <c r="A18" s="3" t="s">
        <v>90</v>
      </c>
      <c r="B18" s="52">
        <f>F10+F11</f>
        <v>802980</v>
      </c>
      <c r="C18" s="12">
        <f>J10+J11</f>
        <v>867232.80800000019</v>
      </c>
      <c r="D18" s="12">
        <f>R10+R11</f>
        <v>952157.10695039993</v>
      </c>
      <c r="E18" s="12">
        <f>V11+V10</f>
        <v>1025495.385209905</v>
      </c>
    </row>
    <row r="19" spans="1:5" x14ac:dyDescent="0.2">
      <c r="A19" s="3" t="s">
        <v>92</v>
      </c>
      <c r="B19" s="13">
        <f>B18/B17</f>
        <v>0.89921386817173954</v>
      </c>
      <c r="C19" s="13">
        <f t="shared" ref="C19:E19" si="11">C18/C17</f>
        <v>0.8999544236818996</v>
      </c>
      <c r="D19" s="13">
        <f t="shared" si="11"/>
        <v>0.90172312127366827</v>
      </c>
      <c r="E19" s="13">
        <f t="shared" si="11"/>
        <v>0.90305171652321925</v>
      </c>
    </row>
    <row r="20" spans="1:5" x14ac:dyDescent="0.2">
      <c r="A20" s="3" t="s">
        <v>91</v>
      </c>
      <c r="B20" s="53">
        <f>F10/F12</f>
        <v>0.44023382382584159</v>
      </c>
      <c r="C20" s="53">
        <f>J10/C17</f>
        <v>0.44104536511077269</v>
      </c>
      <c r="D20" s="53">
        <f>R10/R12</f>
        <v>0.44119766756207823</v>
      </c>
      <c r="E20" s="53">
        <f>V10/V12</f>
        <v>0.43915418008682272</v>
      </c>
    </row>
    <row r="21" spans="1:5" x14ac:dyDescent="0.2">
      <c r="A21" s="3" t="s">
        <v>93</v>
      </c>
      <c r="B21" s="53">
        <f>F11/F12</f>
        <v>0.45898004434589806</v>
      </c>
      <c r="C21" s="53">
        <f>J11/C18</f>
        <v>0.50992477673884307</v>
      </c>
      <c r="D21" s="53">
        <f>R11/R12</f>
        <v>0.46052545371159004</v>
      </c>
      <c r="E21" s="53">
        <f>V11/V12</f>
        <v>0.46389753643639653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A7DB-D10E-4411-B924-41585833FD1B}">
  <dimension ref="A1:Q8"/>
  <sheetViews>
    <sheetView zoomScale="130" zoomScaleNormal="130" workbookViewId="0">
      <selection sqref="A1:A2"/>
    </sheetView>
  </sheetViews>
  <sheetFormatPr baseColWidth="10" defaultColWidth="8.83203125" defaultRowHeight="15" x14ac:dyDescent="0.2"/>
  <cols>
    <col min="1" max="1" width="20.33203125" style="3" bestFit="1" customWidth="1"/>
    <col min="2" max="2" width="11.1640625" style="3" bestFit="1" customWidth="1"/>
    <col min="3" max="3" width="8.83203125" style="3"/>
    <col min="4" max="4" width="11.1640625" style="3" bestFit="1" customWidth="1"/>
    <col min="5" max="5" width="8.83203125" style="3"/>
    <col min="6" max="6" width="19.6640625" style="3" bestFit="1" customWidth="1"/>
    <col min="7" max="7" width="15.6640625" style="3" bestFit="1" customWidth="1"/>
    <col min="8" max="8" width="16.83203125" style="3" bestFit="1" customWidth="1"/>
    <col min="9" max="10" width="13.6640625" style="3" bestFit="1" customWidth="1"/>
    <col min="11" max="11" width="14.5" style="3" bestFit="1" customWidth="1"/>
    <col min="12" max="12" width="20.5" style="3" bestFit="1" customWidth="1"/>
    <col min="13" max="13" width="19.1640625" style="3" bestFit="1" customWidth="1"/>
    <col min="14" max="14" width="14.5" style="3" bestFit="1" customWidth="1"/>
    <col min="15" max="15" width="13.6640625" style="3" bestFit="1" customWidth="1"/>
    <col min="16" max="16" width="14.5" style="3" bestFit="1" customWidth="1"/>
    <col min="17" max="17" width="13.6640625" style="3" bestFit="1" customWidth="1"/>
    <col min="18" max="16384" width="8.83203125" style="3"/>
  </cols>
  <sheetData>
    <row r="1" spans="1:17" ht="19" x14ac:dyDescent="0.25">
      <c r="A1" s="5" t="s">
        <v>0</v>
      </c>
    </row>
    <row r="2" spans="1:17" ht="16" x14ac:dyDescent="0.2">
      <c r="A2" s="7" t="s">
        <v>322</v>
      </c>
    </row>
    <row r="4" spans="1:17" x14ac:dyDescent="0.2">
      <c r="A4" s="18" t="s">
        <v>35</v>
      </c>
      <c r="B4" s="18" t="s">
        <v>52</v>
      </c>
      <c r="C4" s="18" t="s">
        <v>320</v>
      </c>
      <c r="D4" s="18" t="s">
        <v>94</v>
      </c>
      <c r="E4" s="18" t="s">
        <v>95</v>
      </c>
      <c r="F4" s="18" t="s">
        <v>96</v>
      </c>
      <c r="G4" s="18" t="s">
        <v>97</v>
      </c>
      <c r="H4" s="18" t="s">
        <v>98</v>
      </c>
      <c r="I4" s="18" t="s">
        <v>99</v>
      </c>
      <c r="J4" s="18" t="s">
        <v>100</v>
      </c>
      <c r="K4" s="18" t="s">
        <v>101</v>
      </c>
      <c r="L4" s="18" t="s">
        <v>102</v>
      </c>
      <c r="M4" s="18" t="s">
        <v>181</v>
      </c>
      <c r="N4" s="18" t="s">
        <v>103</v>
      </c>
      <c r="O4" s="18" t="s">
        <v>104</v>
      </c>
      <c r="P4" s="18" t="s">
        <v>105</v>
      </c>
      <c r="Q4" s="18" t="s">
        <v>106</v>
      </c>
    </row>
    <row r="5" spans="1:17" x14ac:dyDescent="0.2">
      <c r="A5" s="3" t="s">
        <v>48</v>
      </c>
      <c r="B5" s="59">
        <f>Production_Model!F5</f>
        <v>123076.92307692308</v>
      </c>
      <c r="C5" s="3">
        <v>0.35</v>
      </c>
      <c r="D5" s="35">
        <f>C5*B5</f>
        <v>43076.923076923078</v>
      </c>
      <c r="E5" s="10">
        <v>28</v>
      </c>
      <c r="F5" s="10">
        <f>E5*D5</f>
        <v>1206153.8461538462</v>
      </c>
      <c r="G5" s="3">
        <f>C5*Production_Model!G5</f>
        <v>44323.770491803276</v>
      </c>
      <c r="H5" s="35">
        <f>C5*Production_Model!H5</f>
        <v>46644.625004207759</v>
      </c>
      <c r="I5" s="35">
        <f>Production_Model!I5*Direct_Labor!C5</f>
        <v>49652.415562309179</v>
      </c>
      <c r="J5" s="35">
        <f>Production_Model!J5*Direct_Labor!C5</f>
        <v>52292.421297728477</v>
      </c>
      <c r="K5" s="12">
        <f>E5*(1+Assumptions!D$10)</f>
        <v>29.12</v>
      </c>
      <c r="L5" s="10">
        <f>H5*K5</f>
        <v>1358291.4801225299</v>
      </c>
      <c r="M5" s="10">
        <f>K5*G5</f>
        <v>1290708.1967213114</v>
      </c>
      <c r="N5" s="12">
        <f>K5*(1+Assumptions!F$10)</f>
        <v>30.139199999999999</v>
      </c>
      <c r="O5" s="10">
        <f>I5*N5</f>
        <v>1496484.0831155488</v>
      </c>
      <c r="P5" s="12">
        <f>N5*(1+Assumptions!G$10)</f>
        <v>31.194071999999995</v>
      </c>
      <c r="Q5" s="10">
        <f>J5*P5</f>
        <v>1631213.5550156753</v>
      </c>
    </row>
    <row r="6" spans="1:17" x14ac:dyDescent="0.2">
      <c r="A6" s="3" t="s">
        <v>49</v>
      </c>
      <c r="B6" s="59">
        <f>Production_Model!F6</f>
        <v>66666.666666666672</v>
      </c>
      <c r="C6" s="3">
        <v>0.6</v>
      </c>
      <c r="D6" s="35">
        <f t="shared" ref="D6:D7" si="0">C6*B6</f>
        <v>40000</v>
      </c>
      <c r="E6" s="10">
        <v>30</v>
      </c>
      <c r="F6" s="10">
        <f t="shared" ref="F6:F7" si="1">E6*D6</f>
        <v>1200000</v>
      </c>
      <c r="G6" s="3">
        <f>C6*Production_Model!G6</f>
        <v>41157.7868852459</v>
      </c>
      <c r="H6" s="35">
        <f>C6*Production_Model!H6</f>
        <v>43312.866075335769</v>
      </c>
      <c r="I6" s="35">
        <f>Production_Model!I6*Direct_Labor!C6</f>
        <v>46105.814450715661</v>
      </c>
      <c r="J6" s="35">
        <f>Production_Model!J6*Direct_Labor!C6</f>
        <v>48557.248347890731</v>
      </c>
      <c r="K6" s="12">
        <f>E6*(1+Assumptions!D$10)</f>
        <v>31.200000000000003</v>
      </c>
      <c r="L6" s="10">
        <f t="shared" ref="L6:L7" si="2">H6*K6</f>
        <v>1351361.4215504762</v>
      </c>
      <c r="M6" s="10">
        <f t="shared" ref="M6:M7" si="3">K6*G6</f>
        <v>1284122.9508196721</v>
      </c>
      <c r="N6" s="12">
        <f>K6*(1+Assumptions!F$10)</f>
        <v>32.292000000000002</v>
      </c>
      <c r="O6" s="10">
        <f t="shared" ref="O6:O7" si="4">I6*N6</f>
        <v>1488848.9602425103</v>
      </c>
      <c r="P6" s="12">
        <f>N6*(1+Assumptions!G$10)</f>
        <v>33.422219999999996</v>
      </c>
      <c r="Q6" s="10">
        <f t="shared" ref="Q6:Q7" si="5">J6*P6</f>
        <v>1622891.0368778403</v>
      </c>
    </row>
    <row r="7" spans="1:17" ht="16" thickBot="1" x14ac:dyDescent="0.25">
      <c r="A7" s="3" t="s">
        <v>50</v>
      </c>
      <c r="B7" s="59">
        <f>Production_Model!F7</f>
        <v>63589.743589743593</v>
      </c>
      <c r="C7" s="3">
        <v>0.45</v>
      </c>
      <c r="D7" s="35">
        <f t="shared" si="0"/>
        <v>28615.384615384617</v>
      </c>
      <c r="E7" s="10">
        <v>29</v>
      </c>
      <c r="F7" s="10">
        <f t="shared" si="1"/>
        <v>829846.15384615387</v>
      </c>
      <c r="G7" s="3">
        <f>C7*Production_Model!G7</f>
        <v>29443.647540983606</v>
      </c>
      <c r="H7" s="35">
        <f>C7*Production_Model!H7</f>
        <v>30985.358038509439</v>
      </c>
      <c r="I7" s="35">
        <f>Production_Model!I7*Direct_Labor!C7</f>
        <v>32983.39033781967</v>
      </c>
      <c r="J7" s="35">
        <f>Production_Model!J7*Direct_Labor!C7</f>
        <v>34737.108433491063</v>
      </c>
      <c r="K7" s="12">
        <f>E7*(1+Assumptions!D$10)</f>
        <v>30.16</v>
      </c>
      <c r="L7" s="10">
        <f t="shared" si="2"/>
        <v>934518.39844144473</v>
      </c>
      <c r="M7" s="10">
        <f t="shared" si="3"/>
        <v>888020.40983606561</v>
      </c>
      <c r="N7" s="12">
        <f>K7*(1+Assumptions!F$10)</f>
        <v>31.215599999999998</v>
      </c>
      <c r="O7" s="10">
        <f t="shared" si="4"/>
        <v>1029596.3194292437</v>
      </c>
      <c r="P7" s="12">
        <f>N7*(1+Assumptions!G$10)</f>
        <v>32.308145999999994</v>
      </c>
      <c r="Q7" s="10">
        <f t="shared" si="5"/>
        <v>1122291.5708870604</v>
      </c>
    </row>
    <row r="8" spans="1:17" x14ac:dyDescent="0.2">
      <c r="A8" s="38" t="s">
        <v>107</v>
      </c>
      <c r="B8" s="60"/>
      <c r="C8" s="60"/>
      <c r="D8" s="61">
        <f>SUM(D5:D7)</f>
        <v>111692.30769230769</v>
      </c>
      <c r="E8" s="60"/>
      <c r="F8" s="41">
        <f>SUM(F5:F7)</f>
        <v>3236000</v>
      </c>
      <c r="G8" s="60"/>
      <c r="H8" s="62">
        <f>SUM(H5:H7)</f>
        <v>120942.84911805297</v>
      </c>
      <c r="I8" s="60"/>
      <c r="J8" s="60"/>
      <c r="K8" s="60"/>
      <c r="L8" s="41">
        <f>SUM(L5:L7)</f>
        <v>3644171.3001144505</v>
      </c>
      <c r="M8" s="41">
        <f>SUM(M5:M7)</f>
        <v>3462851.5573770492</v>
      </c>
      <c r="N8" s="38"/>
      <c r="O8" s="41">
        <f>SUM(O5:O7)</f>
        <v>4014929.3627873026</v>
      </c>
      <c r="P8" s="38"/>
      <c r="Q8" s="41">
        <f>SUM(Q5:Q7)</f>
        <v>4376396.1627805755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86B6-0BD5-423D-83D9-BE0A38F0A66D}">
  <dimension ref="A1:I15"/>
  <sheetViews>
    <sheetView zoomScale="130" zoomScaleNormal="130" workbookViewId="0">
      <selection sqref="A1:A2"/>
    </sheetView>
  </sheetViews>
  <sheetFormatPr baseColWidth="10" defaultColWidth="8.83203125" defaultRowHeight="15" x14ac:dyDescent="0.2"/>
  <cols>
    <col min="1" max="1" width="24.5" style="3" bestFit="1" customWidth="1"/>
    <col min="2" max="2" width="8.83203125" style="3"/>
    <col min="3" max="3" width="13.6640625" style="3" bestFit="1" customWidth="1"/>
    <col min="4" max="7" width="12.1640625" style="3" bestFit="1" customWidth="1"/>
    <col min="8" max="16384" width="8.83203125" style="3"/>
  </cols>
  <sheetData>
    <row r="1" spans="1:9" ht="19" x14ac:dyDescent="0.25">
      <c r="A1" s="5" t="s">
        <v>0</v>
      </c>
    </row>
    <row r="2" spans="1:9" ht="16" x14ac:dyDescent="0.2">
      <c r="A2" s="7" t="s">
        <v>321</v>
      </c>
    </row>
    <row r="4" spans="1:9" x14ac:dyDescent="0.2">
      <c r="A4" s="18" t="s">
        <v>108</v>
      </c>
      <c r="B4" s="18" t="s">
        <v>109</v>
      </c>
      <c r="C4" s="18" t="s">
        <v>13</v>
      </c>
      <c r="D4" s="18" t="s">
        <v>14</v>
      </c>
      <c r="E4" s="18" t="s">
        <v>15</v>
      </c>
      <c r="F4" s="18" t="s">
        <v>16</v>
      </c>
      <c r="G4" s="18" t="s">
        <v>17</v>
      </c>
      <c r="H4" s="18" t="s">
        <v>110</v>
      </c>
      <c r="I4" s="18" t="s">
        <v>18</v>
      </c>
    </row>
    <row r="5" spans="1:9" x14ac:dyDescent="0.2">
      <c r="A5" s="3" t="s">
        <v>111</v>
      </c>
      <c r="B5" s="3" t="s">
        <v>114</v>
      </c>
      <c r="C5" s="15">
        <v>750000</v>
      </c>
      <c r="D5" s="10">
        <f>C5*Production_Model!G8/Production_Model!F8</f>
        <v>771708.50409836066</v>
      </c>
      <c r="E5" s="12">
        <f>C5*(Production_Model!$H$8/Production_Model!$F$8)</f>
        <v>812116.23891254561</v>
      </c>
      <c r="F5" s="12">
        <f>E5*(Production_Model!$I$8/Production_Model!$H$8)</f>
        <v>864484.02095091878</v>
      </c>
      <c r="G5" s="12">
        <f>F5*(Production_Model!$J$8/Production_Model!$I$8)</f>
        <v>910448.40652295109</v>
      </c>
      <c r="H5" s="3" t="s">
        <v>116</v>
      </c>
      <c r="I5" s="31" t="s">
        <v>122</v>
      </c>
    </row>
    <row r="6" spans="1:9" x14ac:dyDescent="0.2">
      <c r="A6" s="3" t="s">
        <v>112</v>
      </c>
      <c r="B6" s="3" t="s">
        <v>114</v>
      </c>
      <c r="C6" s="15">
        <v>600000</v>
      </c>
      <c r="D6" s="52">
        <f>C6*(Production_Model!G8/Production_Model!F8)</f>
        <v>617366.80327868846</v>
      </c>
      <c r="E6" s="12">
        <f>C6*(Production_Model!$H$8/Production_Model!$F$8)</f>
        <v>649692.99113003653</v>
      </c>
      <c r="F6" s="12">
        <f>E6*(Production_Model!$I$8/Production_Model!$H$8)</f>
        <v>691587.21676073514</v>
      </c>
      <c r="G6" s="12">
        <f>F6*(Production_Model!$J$8/Production_Model!$I$8)</f>
        <v>728358.72521836101</v>
      </c>
      <c r="H6" s="3" t="s">
        <v>116</v>
      </c>
    </row>
    <row r="7" spans="1:9" x14ac:dyDescent="0.2">
      <c r="A7" s="3" t="s">
        <v>113</v>
      </c>
      <c r="B7" s="3" t="s">
        <v>115</v>
      </c>
      <c r="C7" s="15">
        <v>1050000</v>
      </c>
      <c r="D7" s="52">
        <f>C7*(1+Assumptions!D10)</f>
        <v>1092000</v>
      </c>
      <c r="E7" s="52">
        <f>C7*(1+Assumptions!D10)</f>
        <v>1092000</v>
      </c>
      <c r="F7" s="52">
        <f>E$7*(1+Assumptions!F$10)</f>
        <v>1130220</v>
      </c>
      <c r="G7" s="52">
        <f>F$7*(1+Assumptions!G$10)</f>
        <v>1169777.7</v>
      </c>
      <c r="H7" s="3" t="s">
        <v>117</v>
      </c>
    </row>
    <row r="8" spans="1:9" x14ac:dyDescent="0.2">
      <c r="A8" s="3" t="s">
        <v>118</v>
      </c>
      <c r="B8" s="3" t="s">
        <v>115</v>
      </c>
      <c r="C8" s="15">
        <v>650000</v>
      </c>
      <c r="D8" s="52">
        <f>$C$8*(1+3%)</f>
        <v>669500</v>
      </c>
      <c r="E8" s="52">
        <f>$C$8*(1+3%)</f>
        <v>669500</v>
      </c>
      <c r="F8" s="52">
        <f>E8*(1+3%)</f>
        <v>689585</v>
      </c>
      <c r="G8" s="52">
        <f>F8*(1+3%)</f>
        <v>710272.55</v>
      </c>
      <c r="H8" s="3" t="s">
        <v>120</v>
      </c>
    </row>
    <row r="9" spans="1:9" ht="16" thickBot="1" x14ac:dyDescent="0.25">
      <c r="A9" s="3" t="s">
        <v>119</v>
      </c>
      <c r="B9" s="3" t="s">
        <v>114</v>
      </c>
      <c r="C9" s="15">
        <v>350000</v>
      </c>
      <c r="D9" s="12">
        <f>C9*(Production_Model!G8/Production_Model!F8)</f>
        <v>360130.63524590165</v>
      </c>
      <c r="E9" s="12">
        <f>C9*(Production_Model!$H$8/Production_Model!$F$8)</f>
        <v>378987.57815918798</v>
      </c>
      <c r="F9" s="12">
        <f>E9*(Production_Model!$I$8/Production_Model!$H$8)</f>
        <v>403425.87644376216</v>
      </c>
      <c r="G9" s="12">
        <f>F9*(Production_Model!$J$8/Production_Model!$I$8)</f>
        <v>424875.92304404394</v>
      </c>
      <c r="H9" s="3" t="s">
        <v>116</v>
      </c>
    </row>
    <row r="10" spans="1:9" x14ac:dyDescent="0.2">
      <c r="A10" s="38" t="s">
        <v>121</v>
      </c>
      <c r="B10" s="38"/>
      <c r="C10" s="63">
        <f>SUM(C5:C9)</f>
        <v>3400000</v>
      </c>
      <c r="D10" s="63">
        <f>SUM(D5:D9)</f>
        <v>3510705.9426229508</v>
      </c>
      <c r="E10" s="63">
        <f>SUM(E5:E9)</f>
        <v>3602296.8082017703</v>
      </c>
      <c r="F10" s="63">
        <f>SUM(F5:F9)</f>
        <v>3779302.1141554164</v>
      </c>
      <c r="G10" s="63">
        <f>SUM(G5:G9)</f>
        <v>3943733.3047853564</v>
      </c>
    </row>
    <row r="12" spans="1:9" x14ac:dyDescent="0.2">
      <c r="A12" s="64" t="s">
        <v>89</v>
      </c>
      <c r="B12" s="64"/>
      <c r="C12" s="64"/>
      <c r="D12" s="64"/>
      <c r="E12" s="64"/>
      <c r="F12" s="64"/>
      <c r="G12" s="64"/>
    </row>
    <row r="13" spans="1:9" x14ac:dyDescent="0.2">
      <c r="A13" s="3" t="s">
        <v>123</v>
      </c>
      <c r="C13" s="43">
        <v>280000</v>
      </c>
      <c r="D13" s="43">
        <v>290000</v>
      </c>
      <c r="E13" s="43">
        <v>290000</v>
      </c>
      <c r="F13" s="43">
        <v>310000</v>
      </c>
      <c r="G13" s="43">
        <v>330000</v>
      </c>
    </row>
    <row r="14" spans="1:9" x14ac:dyDescent="0.2">
      <c r="A14" s="3" t="s">
        <v>124</v>
      </c>
      <c r="C14" s="59">
        <f>Production_Model!F8</f>
        <v>253333.33333333334</v>
      </c>
      <c r="D14" s="59">
        <f>Production_Model!G8</f>
        <v>260665.98360655736</v>
      </c>
      <c r="E14" s="59">
        <f>Production_Model!H8</f>
        <v>274314.81847712654</v>
      </c>
      <c r="F14" s="59">
        <f>Production_Model!I8</f>
        <v>292003.49152119923</v>
      </c>
      <c r="G14" s="59">
        <f>Production_Model!J8</f>
        <v>307529.23953664128</v>
      </c>
    </row>
    <row r="15" spans="1:9" x14ac:dyDescent="0.2">
      <c r="A15" s="3" t="s">
        <v>125</v>
      </c>
      <c r="C15" s="13">
        <f>C14/C13</f>
        <v>0.90476190476190477</v>
      </c>
      <c r="D15" s="13">
        <f t="shared" ref="D15:G15" si="0">D14/D13</f>
        <v>0.89884821933295644</v>
      </c>
      <c r="E15" s="13">
        <f t="shared" si="0"/>
        <v>0.94591316716250529</v>
      </c>
      <c r="F15" s="13">
        <f t="shared" si="0"/>
        <v>0.94194674684257818</v>
      </c>
      <c r="G15" s="13">
        <f t="shared" si="0"/>
        <v>0.93190678647467051</v>
      </c>
    </row>
  </sheetData>
  <pageMargins left="0.7" right="0.7" top="0.75" bottom="0.75" header="0.3" footer="0.3"/>
  <ignoredErrors>
    <ignoredError sqref="E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46F4-8C35-4817-AF70-4B8FC4610524}">
  <dimension ref="A1:O12"/>
  <sheetViews>
    <sheetView zoomScale="130" zoomScaleNormal="130" workbookViewId="0">
      <selection activeCell="A2" sqref="A2"/>
    </sheetView>
  </sheetViews>
  <sheetFormatPr baseColWidth="10" defaultColWidth="8.83203125" defaultRowHeight="15" x14ac:dyDescent="0.2"/>
  <cols>
    <col min="1" max="1" width="17" style="3" customWidth="1"/>
    <col min="2" max="2" width="8.83203125" style="3"/>
    <col min="3" max="3" width="13.33203125" style="3" bestFit="1" customWidth="1"/>
    <col min="4" max="4" width="14.33203125" style="3" bestFit="1" customWidth="1"/>
    <col min="5" max="6" width="11.33203125" style="3" bestFit="1" customWidth="1"/>
    <col min="7" max="10" width="12.1640625" style="3" bestFit="1" customWidth="1"/>
    <col min="11" max="14" width="13.6640625" style="3" bestFit="1" customWidth="1"/>
    <col min="15" max="15" width="13.83203125" style="3" bestFit="1" customWidth="1"/>
    <col min="16" max="16384" width="8.83203125" style="3"/>
  </cols>
  <sheetData>
    <row r="1" spans="1:15" ht="19" x14ac:dyDescent="0.25">
      <c r="A1" s="5" t="s">
        <v>0</v>
      </c>
    </row>
    <row r="2" spans="1:15" ht="16" x14ac:dyDescent="0.2">
      <c r="A2" s="7" t="s">
        <v>156</v>
      </c>
    </row>
    <row r="5" spans="1:15" x14ac:dyDescent="0.2">
      <c r="A5" s="18" t="s">
        <v>126</v>
      </c>
      <c r="B5" s="18" t="s">
        <v>127</v>
      </c>
      <c r="C5" s="18" t="s">
        <v>128</v>
      </c>
      <c r="D5" s="18" t="s">
        <v>129</v>
      </c>
      <c r="E5" s="18" t="s">
        <v>130</v>
      </c>
      <c r="F5" s="18" t="s">
        <v>131</v>
      </c>
      <c r="G5" s="18" t="s">
        <v>136</v>
      </c>
      <c r="H5" s="18" t="s">
        <v>137</v>
      </c>
      <c r="I5" s="18" t="s">
        <v>138</v>
      </c>
      <c r="J5" s="18" t="s">
        <v>139</v>
      </c>
      <c r="K5" s="18" t="s">
        <v>132</v>
      </c>
      <c r="L5" s="18" t="s">
        <v>140</v>
      </c>
      <c r="M5" s="18" t="s">
        <v>133</v>
      </c>
      <c r="N5" s="18" t="s">
        <v>134</v>
      </c>
      <c r="O5" s="18" t="s">
        <v>135</v>
      </c>
    </row>
    <row r="6" spans="1:15" x14ac:dyDescent="0.2">
      <c r="A6" s="3" t="s">
        <v>141</v>
      </c>
      <c r="B6" s="3">
        <v>8</v>
      </c>
      <c r="C6" s="3">
        <v>9</v>
      </c>
      <c r="D6" s="3">
        <v>9</v>
      </c>
      <c r="E6" s="3">
        <v>9</v>
      </c>
      <c r="F6" s="3">
        <v>10</v>
      </c>
      <c r="G6" s="10">
        <v>85000</v>
      </c>
      <c r="H6" s="10">
        <f>G6*(1+Assumptions!D$10)</f>
        <v>88400</v>
      </c>
      <c r="I6" s="10">
        <f>H6*(1+Assumptions!F$10)</f>
        <v>91494</v>
      </c>
      <c r="J6" s="10">
        <f>I6*(1+Assumptions!G$10)</f>
        <v>94696.29</v>
      </c>
      <c r="K6" s="12">
        <f>G6*B6</f>
        <v>680000</v>
      </c>
      <c r="L6" s="12">
        <f>H6*C6</f>
        <v>795600</v>
      </c>
      <c r="M6" s="12">
        <f>H6*D6</f>
        <v>795600</v>
      </c>
      <c r="N6" s="12">
        <f>I6*E6</f>
        <v>823446</v>
      </c>
      <c r="O6" s="12">
        <f>J6*F6</f>
        <v>946962.89999999991</v>
      </c>
    </row>
    <row r="7" spans="1:15" x14ac:dyDescent="0.2">
      <c r="A7" s="3" t="s">
        <v>142</v>
      </c>
      <c r="B7" s="3">
        <v>12</v>
      </c>
      <c r="C7" s="3">
        <v>13</v>
      </c>
      <c r="D7" s="3">
        <v>13</v>
      </c>
      <c r="E7" s="3">
        <v>14</v>
      </c>
      <c r="F7" s="3">
        <v>15</v>
      </c>
      <c r="G7" s="10">
        <v>78000</v>
      </c>
      <c r="H7" s="10">
        <f>G7*(1+Assumptions!D$10)</f>
        <v>81120</v>
      </c>
      <c r="I7" s="10">
        <f>H7*(1+Assumptions!F$10)</f>
        <v>83959.2</v>
      </c>
      <c r="J7" s="10">
        <f>I7*(1+Assumptions!G$10)</f>
        <v>86897.771999999997</v>
      </c>
      <c r="K7" s="12">
        <f t="shared" ref="K7:K11" si="0">G7*B7</f>
        <v>936000</v>
      </c>
      <c r="L7" s="12">
        <f t="shared" ref="L7:L11" si="1">H7*C7</f>
        <v>1054560</v>
      </c>
      <c r="M7" s="12">
        <f t="shared" ref="M7:M11" si="2">H7*D7</f>
        <v>1054560</v>
      </c>
      <c r="N7" s="12">
        <f t="shared" ref="N7:N11" si="3">I7*E7</f>
        <v>1175428.8</v>
      </c>
      <c r="O7" s="12">
        <f t="shared" ref="O7:O11" si="4">J7*F7</f>
        <v>1303466.58</v>
      </c>
    </row>
    <row r="8" spans="1:15" x14ac:dyDescent="0.2">
      <c r="A8" s="3" t="s">
        <v>143</v>
      </c>
      <c r="B8" s="3">
        <v>18</v>
      </c>
      <c r="C8" s="3">
        <v>19</v>
      </c>
      <c r="D8" s="3">
        <v>20</v>
      </c>
      <c r="E8" s="3">
        <v>21</v>
      </c>
      <c r="F8" s="3">
        <v>22</v>
      </c>
      <c r="G8" s="10">
        <v>72000</v>
      </c>
      <c r="H8" s="10">
        <f>G8*(1+Assumptions!D$10)</f>
        <v>74880</v>
      </c>
      <c r="I8" s="10">
        <f>H8*(1+Assumptions!F$10)</f>
        <v>77500.799999999988</v>
      </c>
      <c r="J8" s="10">
        <f>I8*(1+Assumptions!G$10)</f>
        <v>80213.32799999998</v>
      </c>
      <c r="K8" s="12">
        <f t="shared" si="0"/>
        <v>1296000</v>
      </c>
      <c r="L8" s="12">
        <f t="shared" si="1"/>
        <v>1422720</v>
      </c>
      <c r="M8" s="12">
        <f t="shared" si="2"/>
        <v>1497600</v>
      </c>
      <c r="N8" s="12">
        <f t="shared" si="3"/>
        <v>1627516.7999999998</v>
      </c>
      <c r="O8" s="12">
        <f t="shared" si="4"/>
        <v>1764693.2159999995</v>
      </c>
    </row>
    <row r="9" spans="1:15" x14ac:dyDescent="0.2">
      <c r="A9" s="3" t="s">
        <v>144</v>
      </c>
      <c r="B9" s="3">
        <v>10</v>
      </c>
      <c r="C9" s="3">
        <v>11</v>
      </c>
      <c r="D9" s="3">
        <v>11</v>
      </c>
      <c r="E9" s="3">
        <v>12</v>
      </c>
      <c r="F9" s="3">
        <v>13</v>
      </c>
      <c r="G9" s="10">
        <v>95000</v>
      </c>
      <c r="H9" s="10">
        <f>G9*(1+Assumptions!D$10)</f>
        <v>98800</v>
      </c>
      <c r="I9" s="10">
        <f>H9*(1+Assumptions!F$10)</f>
        <v>102257.99999999999</v>
      </c>
      <c r="J9" s="10">
        <f>I9*(1+Assumptions!G$10)</f>
        <v>105837.02999999997</v>
      </c>
      <c r="K9" s="12">
        <f t="shared" si="0"/>
        <v>950000</v>
      </c>
      <c r="L9" s="12">
        <f t="shared" si="1"/>
        <v>1086800</v>
      </c>
      <c r="M9" s="12">
        <f t="shared" si="2"/>
        <v>1086800</v>
      </c>
      <c r="N9" s="12">
        <f t="shared" si="3"/>
        <v>1227095.9999999998</v>
      </c>
      <c r="O9" s="12">
        <f t="shared" si="4"/>
        <v>1375881.3899999997</v>
      </c>
    </row>
    <row r="10" spans="1:15" x14ac:dyDescent="0.2">
      <c r="A10" s="3" t="s">
        <v>145</v>
      </c>
      <c r="B10" s="3">
        <v>7</v>
      </c>
      <c r="C10" s="3">
        <v>7</v>
      </c>
      <c r="D10" s="3">
        <v>7</v>
      </c>
      <c r="E10" s="3">
        <v>8</v>
      </c>
      <c r="F10" s="3">
        <v>8</v>
      </c>
      <c r="G10" s="10">
        <v>68000</v>
      </c>
      <c r="H10" s="10">
        <f>G10*(1+Assumptions!D$10)</f>
        <v>70720</v>
      </c>
      <c r="I10" s="10">
        <f>H10*(1+Assumptions!F$10)</f>
        <v>73195.199999999997</v>
      </c>
      <c r="J10" s="10">
        <f>I10*(1+Assumptions!G$10)</f>
        <v>75757.031999999992</v>
      </c>
      <c r="K10" s="12">
        <f t="shared" si="0"/>
        <v>476000</v>
      </c>
      <c r="L10" s="12">
        <f t="shared" si="1"/>
        <v>495040</v>
      </c>
      <c r="M10" s="12">
        <f t="shared" si="2"/>
        <v>495040</v>
      </c>
      <c r="N10" s="12">
        <f t="shared" si="3"/>
        <v>585561.59999999998</v>
      </c>
      <c r="O10" s="12">
        <f t="shared" si="4"/>
        <v>606056.25599999994</v>
      </c>
    </row>
    <row r="11" spans="1:15" ht="16" thickBot="1" x14ac:dyDescent="0.25">
      <c r="A11" s="3" t="s">
        <v>146</v>
      </c>
      <c r="B11" s="3">
        <v>5</v>
      </c>
      <c r="C11" s="3">
        <v>6</v>
      </c>
      <c r="D11" s="3">
        <v>6</v>
      </c>
      <c r="E11" s="3">
        <v>6</v>
      </c>
      <c r="F11" s="3">
        <v>7</v>
      </c>
      <c r="G11" s="10">
        <v>88000</v>
      </c>
      <c r="H11" s="10">
        <f>G11*(1+Assumptions!D$10)</f>
        <v>91520</v>
      </c>
      <c r="I11" s="10">
        <f>H11*(1+Assumptions!F$10)</f>
        <v>94723.199999999997</v>
      </c>
      <c r="J11" s="10">
        <f>I11*(1+Assumptions!G$10)</f>
        <v>98038.511999999988</v>
      </c>
      <c r="K11" s="12">
        <f t="shared" si="0"/>
        <v>440000</v>
      </c>
      <c r="L11" s="12">
        <f t="shared" si="1"/>
        <v>549120</v>
      </c>
      <c r="M11" s="12">
        <f t="shared" si="2"/>
        <v>549120</v>
      </c>
      <c r="N11" s="12">
        <f t="shared" si="3"/>
        <v>568339.19999999995</v>
      </c>
      <c r="O11" s="12">
        <f t="shared" si="4"/>
        <v>686269.58399999992</v>
      </c>
    </row>
    <row r="12" spans="1:15" s="27" customFormat="1" x14ac:dyDescent="0.2">
      <c r="A12" s="38" t="s">
        <v>147</v>
      </c>
      <c r="B12" s="38">
        <f>SUM(B6:B11)</f>
        <v>60</v>
      </c>
      <c r="C12" s="38">
        <f t="shared" ref="C12:O12" si="5">SUM(C6:C11)</f>
        <v>65</v>
      </c>
      <c r="D12" s="38">
        <f t="shared" si="5"/>
        <v>66</v>
      </c>
      <c r="E12" s="38">
        <f t="shared" si="5"/>
        <v>70</v>
      </c>
      <c r="F12" s="38">
        <f t="shared" si="5"/>
        <v>75</v>
      </c>
      <c r="G12" s="58">
        <f t="shared" si="5"/>
        <v>486000</v>
      </c>
      <c r="H12" s="58">
        <f t="shared" si="5"/>
        <v>505440</v>
      </c>
      <c r="I12" s="58">
        <f t="shared" si="5"/>
        <v>523130.4</v>
      </c>
      <c r="J12" s="58">
        <f t="shared" si="5"/>
        <v>541439.96399999992</v>
      </c>
      <c r="K12" s="58">
        <f t="shared" si="5"/>
        <v>4778000</v>
      </c>
      <c r="L12" s="58">
        <f t="shared" si="5"/>
        <v>5403840</v>
      </c>
      <c r="M12" s="58">
        <f t="shared" si="5"/>
        <v>5478720</v>
      </c>
      <c r="N12" s="58">
        <f t="shared" si="5"/>
        <v>6007388.3999999994</v>
      </c>
      <c r="O12" s="58">
        <f t="shared" si="5"/>
        <v>6683329.925999999</v>
      </c>
    </row>
  </sheetData>
  <phoneticPr fontId="5" type="noConversion"/>
  <pageMargins left="0.7" right="0.7" top="0.75" bottom="0.75" header="0.3" footer="0.3"/>
  <pageSetup orientation="portrait" horizontalDpi="0" verticalDpi="0"/>
  <ignoredErrors>
    <ignoredError sqref="M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6D8B-825F-43A5-83DF-793B6D02E471}">
  <dimension ref="A1:G12"/>
  <sheetViews>
    <sheetView zoomScale="130" zoomScaleNormal="130" workbookViewId="0">
      <selection sqref="A1:A2"/>
    </sheetView>
  </sheetViews>
  <sheetFormatPr baseColWidth="10" defaultColWidth="8.83203125" defaultRowHeight="15" x14ac:dyDescent="0.2"/>
  <cols>
    <col min="1" max="1" width="19.6640625" style="3" bestFit="1" customWidth="1"/>
    <col min="2" max="2" width="13.6640625" style="3" bestFit="1" customWidth="1"/>
    <col min="3" max="4" width="12.1640625" style="3" bestFit="1" customWidth="1"/>
    <col min="5" max="6" width="13.6640625" style="3" bestFit="1" customWidth="1"/>
    <col min="7" max="16384" width="8.83203125" style="3"/>
  </cols>
  <sheetData>
    <row r="1" spans="1:7" ht="19" x14ac:dyDescent="0.25">
      <c r="A1" s="5" t="s">
        <v>0</v>
      </c>
    </row>
    <row r="2" spans="1:7" ht="16" x14ac:dyDescent="0.2">
      <c r="A2" s="7" t="s">
        <v>323</v>
      </c>
    </row>
    <row r="4" spans="1:7" x14ac:dyDescent="0.2">
      <c r="A4" s="18" t="s">
        <v>148</v>
      </c>
      <c r="B4" s="18" t="s">
        <v>13</v>
      </c>
      <c r="C4" s="18" t="s">
        <v>14</v>
      </c>
      <c r="D4" s="18" t="s">
        <v>15</v>
      </c>
      <c r="E4" s="18" t="s">
        <v>16</v>
      </c>
      <c r="F4" s="18" t="s">
        <v>17</v>
      </c>
      <c r="G4" s="18" t="s">
        <v>110</v>
      </c>
    </row>
    <row r="5" spans="1:7" x14ac:dyDescent="0.2">
      <c r="A5" s="3" t="s">
        <v>142</v>
      </c>
      <c r="B5" s="10">
        <v>900000</v>
      </c>
      <c r="C5" s="10">
        <f>B5*(Revenue_Model!$H$5/Revenue_Model!$E$5)</f>
        <v>954810</v>
      </c>
      <c r="D5" s="12">
        <f>B5*(Revenue_Model!$K$5/Revenue_Model!$E$5)</f>
        <v>945562.49999999977</v>
      </c>
      <c r="E5" s="12">
        <f>$B5*(Revenue_Model!$N$5/Revenue_Model!$E$5)</f>
        <v>1017827.46</v>
      </c>
      <c r="F5" s="12">
        <f>$B5*(Revenue_Model!$Q$5/Revenue_Model!$E$5)</f>
        <v>1043273.1464999997</v>
      </c>
      <c r="G5" s="3" t="s">
        <v>155</v>
      </c>
    </row>
    <row r="6" spans="1:7" x14ac:dyDescent="0.2">
      <c r="A6" s="3" t="s">
        <v>149</v>
      </c>
      <c r="B6" s="10">
        <v>300000</v>
      </c>
      <c r="C6" s="10">
        <f>B6*(Revenue_Model!$H$5/Revenue_Model!$E$5)</f>
        <v>318270</v>
      </c>
      <c r="D6" s="12">
        <f>B6*(Revenue_Model!$K$5/Revenue_Model!$E$5)</f>
        <v>315187.49999999988</v>
      </c>
      <c r="E6" s="12">
        <f>$B6*(Revenue_Model!$N$5/Revenue_Model!$E$5)</f>
        <v>339275.82</v>
      </c>
      <c r="F6" s="12">
        <f>$B6*(Revenue_Model!$Q$5/Revenue_Model!$E$5)</f>
        <v>347757.71549999987</v>
      </c>
      <c r="G6" s="3" t="s">
        <v>155</v>
      </c>
    </row>
    <row r="7" spans="1:7" x14ac:dyDescent="0.2">
      <c r="A7" s="3" t="s">
        <v>150</v>
      </c>
      <c r="B7" s="10">
        <v>400000</v>
      </c>
      <c r="C7" s="10">
        <f>B7*(Revenue_Model!$H$5/Revenue_Model!$E$5)</f>
        <v>424360</v>
      </c>
      <c r="D7" s="12">
        <f>B7*(Revenue_Model!$K$5/Revenue_Model!$E$5)</f>
        <v>420249.99999999988</v>
      </c>
      <c r="E7" s="12">
        <f>$B7*(Revenue_Model!$N$5/Revenue_Model!$E$5)</f>
        <v>452367.76</v>
      </c>
      <c r="F7" s="12">
        <f>$B7*(Revenue_Model!$Q$5/Revenue_Model!$E$5)</f>
        <v>463676.95399999985</v>
      </c>
      <c r="G7" s="3" t="s">
        <v>155</v>
      </c>
    </row>
    <row r="8" spans="1:7" x14ac:dyDescent="0.2">
      <c r="A8" s="3" t="s">
        <v>151</v>
      </c>
      <c r="B8" s="10">
        <v>350000</v>
      </c>
      <c r="C8" s="12">
        <f>B8*(Headcount!$C$12/Headcount!$B$12)</f>
        <v>379166.66666666663</v>
      </c>
      <c r="D8" s="12">
        <f>B8*(Headcount!$D$12/Headcount!$B$12)</f>
        <v>385000.00000000006</v>
      </c>
      <c r="E8" s="12">
        <f>B8*(Headcount!$E$12/Headcount!$B$12)</f>
        <v>408333.33333333337</v>
      </c>
      <c r="F8" s="12">
        <f>B8*(Headcount!$F$12/Headcount!$B$12)</f>
        <v>437500</v>
      </c>
      <c r="G8" s="3" t="s">
        <v>156</v>
      </c>
    </row>
    <row r="9" spans="1:7" x14ac:dyDescent="0.2">
      <c r="A9" s="3" t="s">
        <v>152</v>
      </c>
      <c r="B9" s="10">
        <v>250000</v>
      </c>
      <c r="C9" s="10">
        <f>B9*(Revenue_Model!$H$5/Revenue_Model!$E$5)</f>
        <v>265225</v>
      </c>
      <c r="D9" s="12">
        <f>B9*(Revenue_Model!$K$5/Revenue_Model!$E$5)</f>
        <v>262656.24999999994</v>
      </c>
      <c r="E9" s="12">
        <f>$B9*(Revenue_Model!$N$5/Revenue_Model!$E$5)</f>
        <v>282729.84999999998</v>
      </c>
      <c r="F9" s="12">
        <f>$B9*(Revenue_Model!$Q$5/Revenue_Model!$E$5)</f>
        <v>289798.09624999989</v>
      </c>
      <c r="G9" s="3" t="s">
        <v>155</v>
      </c>
    </row>
    <row r="10" spans="1:7" x14ac:dyDescent="0.2">
      <c r="A10" s="3" t="s">
        <v>153</v>
      </c>
      <c r="B10" s="10">
        <v>220000</v>
      </c>
      <c r="C10" s="12">
        <f>B10*(Headcount!$C$12/Headcount!$B$12)</f>
        <v>238333.33333333331</v>
      </c>
      <c r="D10" s="12">
        <f>B10*(Headcount!$D$12/Headcount!$B$12)</f>
        <v>242000.00000000003</v>
      </c>
      <c r="E10" s="12">
        <f>B10*(Headcount!$E$12/Headcount!$B$12)</f>
        <v>256666.66666666669</v>
      </c>
      <c r="F10" s="12">
        <f>B10*(Headcount!$F$12/Headcount!$B$12)</f>
        <v>275000</v>
      </c>
      <c r="G10" s="3" t="s">
        <v>156</v>
      </c>
    </row>
    <row r="11" spans="1:7" ht="16" thickBot="1" x14ac:dyDescent="0.25">
      <c r="A11" s="3" t="s">
        <v>154</v>
      </c>
      <c r="B11" s="10">
        <v>180000</v>
      </c>
      <c r="C11" s="10">
        <f>B11*(Revenue_Model!$H$5/Revenue_Model!$E$5)</f>
        <v>190962</v>
      </c>
      <c r="D11" s="12">
        <f>B11*(Revenue_Model!$K$5/Revenue_Model!$E$5)</f>
        <v>189112.49999999994</v>
      </c>
      <c r="E11" s="12">
        <f>$B11*(Revenue_Model!$N$5/Revenue_Model!$E$5)</f>
        <v>203565.492</v>
      </c>
      <c r="F11" s="12">
        <f>$B11*(Revenue_Model!$Q$5/Revenue_Model!$E$5)</f>
        <v>208654.62929999994</v>
      </c>
      <c r="G11" s="3" t="s">
        <v>155</v>
      </c>
    </row>
    <row r="12" spans="1:7" x14ac:dyDescent="0.2">
      <c r="A12" s="38" t="s">
        <v>157</v>
      </c>
      <c r="B12" s="41">
        <f>SUM(B5:B11)</f>
        <v>2600000</v>
      </c>
      <c r="C12" s="41">
        <f t="shared" ref="C12:F12" si="0">SUM(C5:C11)</f>
        <v>2771127</v>
      </c>
      <c r="D12" s="41">
        <f t="shared" si="0"/>
        <v>2759768.7499999995</v>
      </c>
      <c r="E12" s="41">
        <f t="shared" si="0"/>
        <v>2960766.3820000002</v>
      </c>
      <c r="F12" s="41">
        <f t="shared" si="0"/>
        <v>3065660.5415499997</v>
      </c>
      <c r="G12" s="38"/>
    </row>
  </sheetData>
  <pageMargins left="0.7" right="0.7" top="0.75" bottom="0.75" header="0.3" footer="0.3"/>
  <pageSetup orientation="portrait" horizontalDpi="0" verticalDpi="0"/>
  <ignoredErrors>
    <ignoredError sqref="C8:C10 D8:F8 D9:F1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D092-3E62-4548-9CB8-6B819CAFD971}">
  <dimension ref="A1:I30"/>
  <sheetViews>
    <sheetView zoomScale="120" zoomScaleNormal="120" workbookViewId="0">
      <selection activeCell="A2" sqref="A2"/>
    </sheetView>
  </sheetViews>
  <sheetFormatPr baseColWidth="10" defaultColWidth="8.83203125" defaultRowHeight="15" x14ac:dyDescent="0.2"/>
  <cols>
    <col min="1" max="1" width="31.6640625" style="3" customWidth="1"/>
    <col min="2" max="2" width="16" style="3" customWidth="1"/>
    <col min="3" max="4" width="15.33203125" style="3" customWidth="1"/>
    <col min="5" max="5" width="16.6640625" style="3" customWidth="1"/>
    <col min="6" max="6" width="16.83203125" style="3" customWidth="1"/>
    <col min="7" max="7" width="11.33203125" style="3" customWidth="1"/>
    <col min="8" max="8" width="19.83203125" style="3" customWidth="1"/>
    <col min="9" max="16384" width="8.83203125" style="3"/>
  </cols>
  <sheetData>
    <row r="1" spans="1:9" ht="19" x14ac:dyDescent="0.25">
      <c r="A1" s="5" t="s">
        <v>0</v>
      </c>
    </row>
    <row r="2" spans="1:9" ht="16" x14ac:dyDescent="0.2">
      <c r="A2" s="7" t="s">
        <v>323</v>
      </c>
    </row>
    <row r="4" spans="1:9" ht="16" x14ac:dyDescent="0.2">
      <c r="A4" s="30" t="s">
        <v>162</v>
      </c>
      <c r="B4" s="67" t="s">
        <v>13</v>
      </c>
      <c r="C4" s="67" t="s">
        <v>14</v>
      </c>
      <c r="D4" s="67" t="s">
        <v>15</v>
      </c>
      <c r="E4" s="67" t="s">
        <v>16</v>
      </c>
      <c r="F4" s="67" t="s">
        <v>17</v>
      </c>
      <c r="G4" s="67" t="s">
        <v>110</v>
      </c>
      <c r="H4" s="67" t="s">
        <v>171</v>
      </c>
      <c r="I4" s="67" t="s">
        <v>18</v>
      </c>
    </row>
    <row r="5" spans="1:9" x14ac:dyDescent="0.2">
      <c r="A5" s="3" t="s">
        <v>163</v>
      </c>
      <c r="B5" s="10">
        <v>900000</v>
      </c>
      <c r="C5" s="12">
        <f>B5*(Production_Model!G8/Production_Model!F8)</f>
        <v>926050.20491803274</v>
      </c>
      <c r="D5" s="12">
        <f>$B5*(Production_Model!H$8/Production_Model!$F$8)</f>
        <v>974539.4866950548</v>
      </c>
      <c r="E5" s="12">
        <f>D5*(Production_Model!I8/Production_Model!H8)</f>
        <v>1037380.8251411027</v>
      </c>
      <c r="F5" s="12">
        <f>E5*(Production_Model!J8/Production_Model!I8)</f>
        <v>1092538.0878275414</v>
      </c>
      <c r="G5" s="3" t="s">
        <v>116</v>
      </c>
      <c r="H5" s="25">
        <v>10</v>
      </c>
      <c r="I5" s="31" t="s">
        <v>173</v>
      </c>
    </row>
    <row r="6" spans="1:9" x14ac:dyDescent="0.2">
      <c r="A6" s="3" t="s">
        <v>164</v>
      </c>
      <c r="B6" s="10">
        <v>300000</v>
      </c>
      <c r="C6" s="10">
        <v>300000</v>
      </c>
      <c r="D6" s="10">
        <v>300000</v>
      </c>
      <c r="E6" s="10">
        <v>400000</v>
      </c>
      <c r="F6" s="10">
        <v>500000</v>
      </c>
      <c r="G6" s="3" t="s">
        <v>168</v>
      </c>
      <c r="H6" s="25">
        <v>15</v>
      </c>
    </row>
    <row r="7" spans="1:9" x14ac:dyDescent="0.2">
      <c r="A7" s="3" t="s">
        <v>165</v>
      </c>
      <c r="B7" s="10">
        <v>200000</v>
      </c>
      <c r="C7" s="12">
        <f>$B7*(Headcount!C12/Headcount!B12)</f>
        <v>216666.66666666666</v>
      </c>
      <c r="D7" s="12">
        <f>$B7*(Headcount!$D12/Headcount!$C$12)</f>
        <v>203076.92307692306</v>
      </c>
      <c r="E7" s="12">
        <f>D7*(Headcount!E12/Headcount!D12)</f>
        <v>215384.61538461535</v>
      </c>
      <c r="F7" s="12">
        <f>E7*(Headcount!F12/Headcount!E12)</f>
        <v>230769.23076923072</v>
      </c>
      <c r="G7" s="3" t="s">
        <v>156</v>
      </c>
      <c r="H7" s="25">
        <v>5</v>
      </c>
    </row>
    <row r="8" spans="1:9" x14ac:dyDescent="0.2">
      <c r="A8" s="3" t="s">
        <v>166</v>
      </c>
      <c r="B8" s="10">
        <v>350000</v>
      </c>
      <c r="C8" s="12">
        <f>$B8*(1+5%)</f>
        <v>367500</v>
      </c>
      <c r="D8" s="12">
        <f>$B8*(1+5%)</f>
        <v>367500</v>
      </c>
      <c r="E8" s="12">
        <f t="shared" ref="E8:F8" si="0">$B8*(1+5%)</f>
        <v>367500</v>
      </c>
      <c r="F8" s="12">
        <f t="shared" si="0"/>
        <v>367500</v>
      </c>
      <c r="G8" s="3" t="s">
        <v>169</v>
      </c>
      <c r="H8" s="25">
        <v>7</v>
      </c>
    </row>
    <row r="9" spans="1:9" ht="16" thickBot="1" x14ac:dyDescent="0.25">
      <c r="A9" s="3" t="s">
        <v>167</v>
      </c>
      <c r="B9" s="10">
        <v>0</v>
      </c>
      <c r="C9" s="10">
        <v>0</v>
      </c>
      <c r="D9" s="10">
        <v>0</v>
      </c>
      <c r="E9" s="10">
        <v>0</v>
      </c>
      <c r="F9" s="10">
        <v>2500000</v>
      </c>
      <c r="G9" s="3" t="s">
        <v>170</v>
      </c>
      <c r="H9" s="25">
        <v>10</v>
      </c>
    </row>
    <row r="10" spans="1:9" x14ac:dyDescent="0.2">
      <c r="A10" s="38" t="s">
        <v>172</v>
      </c>
      <c r="B10" s="41">
        <f>SUM(B5:B9)</f>
        <v>1750000</v>
      </c>
      <c r="C10" s="41">
        <f>SUM(C5:C9)</f>
        <v>1810216.8715846995</v>
      </c>
      <c r="D10" s="41">
        <f>SUM(D5:D9)</f>
        <v>1845116.4097719779</v>
      </c>
      <c r="E10" s="41">
        <f>SUM(E5:E9)</f>
        <v>2020265.4405257178</v>
      </c>
      <c r="F10" s="41">
        <f>SUM(F5:F9)</f>
        <v>4690807.3185967719</v>
      </c>
      <c r="G10" s="38"/>
      <c r="H10" s="38"/>
      <c r="I10" s="38"/>
    </row>
    <row r="14" spans="1:9" x14ac:dyDescent="0.2">
      <c r="A14" s="18" t="s">
        <v>89</v>
      </c>
      <c r="B14" s="26" t="s">
        <v>13</v>
      </c>
      <c r="C14" s="26" t="s">
        <v>14</v>
      </c>
      <c r="D14" s="26" t="s">
        <v>15</v>
      </c>
      <c r="E14" s="26" t="s">
        <v>16</v>
      </c>
      <c r="F14" s="26" t="s">
        <v>17</v>
      </c>
    </row>
    <row r="15" spans="1:9" x14ac:dyDescent="0.2">
      <c r="A15" s="3" t="s">
        <v>172</v>
      </c>
      <c r="B15" s="12">
        <f>B10</f>
        <v>1750000</v>
      </c>
      <c r="C15" s="12">
        <f t="shared" ref="C15:F15" si="1">C10</f>
        <v>1810216.8715846995</v>
      </c>
      <c r="D15" s="12">
        <f t="shared" si="1"/>
        <v>1845116.4097719779</v>
      </c>
      <c r="E15" s="12">
        <f t="shared" si="1"/>
        <v>2020265.4405257178</v>
      </c>
      <c r="F15" s="12">
        <f t="shared" si="1"/>
        <v>4690807.3185967719</v>
      </c>
    </row>
    <row r="16" spans="1:9" x14ac:dyDescent="0.2">
      <c r="A16" s="3" t="s">
        <v>174</v>
      </c>
      <c r="B16" s="53">
        <f>B10/Revenue_Model!E8</f>
        <v>3.5035035035035036E-2</v>
      </c>
      <c r="C16" s="53">
        <f>C10/Revenue_Model!H8</f>
        <v>3.4160220576589399E-2</v>
      </c>
      <c r="D16" s="53">
        <f>D10/Revenue_Model!K8</f>
        <v>3.5159326556004733E-2</v>
      </c>
      <c r="E16" s="53">
        <f>E10/Revenue_Model!N8</f>
        <v>3.5763604873238035E-2</v>
      </c>
      <c r="F16" s="53">
        <f>F10/Revenue_Model!Q8</f>
        <v>8.1013348296248358E-2</v>
      </c>
    </row>
    <row r="17" spans="1:6" x14ac:dyDescent="0.2">
      <c r="A17" s="3" t="s">
        <v>175</v>
      </c>
      <c r="B17" s="14">
        <f>Production_Model!F8</f>
        <v>253333.33333333334</v>
      </c>
      <c r="C17" s="14">
        <f>Production_Model!G8</f>
        <v>260665.98360655736</v>
      </c>
      <c r="D17" s="14">
        <f>Production_Model!H8</f>
        <v>274314.81847712654</v>
      </c>
      <c r="E17" s="14">
        <f>Production_Model!I8</f>
        <v>292003.49152119923</v>
      </c>
      <c r="F17" s="14">
        <f>Production_Model!J8</f>
        <v>307529.23953664128</v>
      </c>
    </row>
    <row r="18" spans="1:6" x14ac:dyDescent="0.2">
      <c r="A18" s="3" t="s">
        <v>125</v>
      </c>
      <c r="B18" s="13">
        <f>Manufacturing_OH!C15</f>
        <v>0.90476190476190477</v>
      </c>
      <c r="C18" s="13">
        <f>Manufacturing_OH!D15</f>
        <v>0.89884821933295644</v>
      </c>
      <c r="D18" s="13">
        <f>Manufacturing_OH!E15</f>
        <v>0.94591316716250529</v>
      </c>
      <c r="E18" s="13">
        <f>Manufacturing_OH!F15</f>
        <v>0.94194674684257818</v>
      </c>
      <c r="F18" s="13">
        <f>Manufacturing_OH!G15</f>
        <v>0.93190678647467051</v>
      </c>
    </row>
    <row r="19" spans="1:6" x14ac:dyDescent="0.2">
      <c r="A19" s="3" t="s">
        <v>176</v>
      </c>
      <c r="B19" s="25" t="str">
        <f>IF(AND(B14&lt;&gt;"2025A",B18&gt;90%),"Yes","No")</f>
        <v>No</v>
      </c>
      <c r="C19" s="25" t="str">
        <f t="shared" ref="C19:F19" si="2">IF(AND(C14&lt;&gt;"2025A",C18&gt;90%),"Yes","No")</f>
        <v>No</v>
      </c>
      <c r="D19" s="25" t="str">
        <f t="shared" si="2"/>
        <v>Yes</v>
      </c>
      <c r="E19" s="25" t="str">
        <f t="shared" si="2"/>
        <v>Yes</v>
      </c>
      <c r="F19" s="25" t="str">
        <f t="shared" si="2"/>
        <v>Yes</v>
      </c>
    </row>
    <row r="22" spans="1:6" x14ac:dyDescent="0.2">
      <c r="A22" s="65" t="s">
        <v>178</v>
      </c>
    </row>
    <row r="24" spans="1:6" x14ac:dyDescent="0.2">
      <c r="A24" s="66" t="s">
        <v>179</v>
      </c>
      <c r="B24" s="26" t="s">
        <v>13</v>
      </c>
      <c r="C24" s="26" t="s">
        <v>14</v>
      </c>
      <c r="D24" s="26" t="s">
        <v>15</v>
      </c>
      <c r="E24" s="26" t="s">
        <v>16</v>
      </c>
      <c r="F24" s="26" t="s">
        <v>17</v>
      </c>
    </row>
    <row r="25" spans="1:6" x14ac:dyDescent="0.2">
      <c r="A25" s="3" t="s">
        <v>163</v>
      </c>
      <c r="B25" s="68">
        <f>B5/H5</f>
        <v>90000</v>
      </c>
      <c r="C25" s="69">
        <f>B25+C5/H5</f>
        <v>182605.02049180327</v>
      </c>
      <c r="D25" s="68">
        <f>B25+D5/H5</f>
        <v>187453.94866950548</v>
      </c>
      <c r="E25" s="68">
        <f>D25+E5/H5</f>
        <v>291192.03118361573</v>
      </c>
      <c r="F25" s="68">
        <f>E25+F5/H5</f>
        <v>400445.83996636991</v>
      </c>
    </row>
    <row r="26" spans="1:6" x14ac:dyDescent="0.2">
      <c r="A26" s="3" t="s">
        <v>164</v>
      </c>
      <c r="B26" s="68">
        <f>B6/H6</f>
        <v>20000</v>
      </c>
      <c r="C26" s="69">
        <f>B26+C6/H6</f>
        <v>40000</v>
      </c>
      <c r="D26" s="68">
        <f>B26+D6/H6</f>
        <v>40000</v>
      </c>
      <c r="E26" s="68">
        <f>D26+E6/H6</f>
        <v>66666.666666666672</v>
      </c>
      <c r="F26" s="68">
        <f>E26+F6/H6</f>
        <v>100000</v>
      </c>
    </row>
    <row r="27" spans="1:6" x14ac:dyDescent="0.2">
      <c r="A27" s="3" t="s">
        <v>165</v>
      </c>
      <c r="B27" s="68">
        <f>B7/H7</f>
        <v>40000</v>
      </c>
      <c r="C27" s="69">
        <f>B27+C7/H7</f>
        <v>83333.333333333328</v>
      </c>
      <c r="D27" s="68">
        <f>B27+D7/H7</f>
        <v>80615.38461538461</v>
      </c>
      <c r="E27" s="68">
        <f>D27+E7/H7</f>
        <v>123692.30769230769</v>
      </c>
      <c r="F27" s="68">
        <f>E27+F7/H7</f>
        <v>169846.15384615381</v>
      </c>
    </row>
    <row r="28" spans="1:6" x14ac:dyDescent="0.2">
      <c r="A28" s="3" t="s">
        <v>166</v>
      </c>
      <c r="B28" s="68">
        <f>B8/H8</f>
        <v>50000</v>
      </c>
      <c r="C28" s="69">
        <f>B28+C8/H8</f>
        <v>102500</v>
      </c>
      <c r="D28" s="68">
        <f>B28+D8/H8</f>
        <v>102500</v>
      </c>
      <c r="E28" s="68">
        <f>D28+E8/H8</f>
        <v>155000</v>
      </c>
      <c r="F28" s="68">
        <f>E28+F8/H8</f>
        <v>207500</v>
      </c>
    </row>
    <row r="29" spans="1:6" ht="16" thickBot="1" x14ac:dyDescent="0.25">
      <c r="A29" s="3" t="s">
        <v>167</v>
      </c>
      <c r="B29" s="68">
        <f>B9/H9</f>
        <v>0</v>
      </c>
      <c r="C29" s="69">
        <f>B29+C9/H9</f>
        <v>0</v>
      </c>
      <c r="D29" s="68">
        <f>B29+D9/H9</f>
        <v>0</v>
      </c>
      <c r="E29" s="68">
        <f>D29+E9/H9</f>
        <v>0</v>
      </c>
      <c r="F29" s="68">
        <f>E29+F9/H9</f>
        <v>250000</v>
      </c>
    </row>
    <row r="30" spans="1:6" x14ac:dyDescent="0.2">
      <c r="A30" s="38" t="s">
        <v>180</v>
      </c>
      <c r="B30" s="70">
        <f>SUM(B25:B29)</f>
        <v>200000</v>
      </c>
      <c r="C30" s="70">
        <f t="shared" ref="C30:F30" si="3">SUM(C25:C29)</f>
        <v>408438.35382513661</v>
      </c>
      <c r="D30" s="70">
        <f t="shared" si="3"/>
        <v>410569.3332848901</v>
      </c>
      <c r="E30" s="70">
        <f t="shared" si="3"/>
        <v>636551.00554259005</v>
      </c>
      <c r="F30" s="70">
        <f t="shared" si="3"/>
        <v>1127791.9938125238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AFEB-5956-4DCB-983B-70C902E234BF}">
  <dimension ref="A1:F15"/>
  <sheetViews>
    <sheetView zoomScale="120" zoomScaleNormal="120" workbookViewId="0">
      <selection activeCell="D21" sqref="D21"/>
    </sheetView>
  </sheetViews>
  <sheetFormatPr baseColWidth="10" defaultColWidth="8.83203125" defaultRowHeight="15" x14ac:dyDescent="0.2"/>
  <cols>
    <col min="1" max="1" width="24.33203125" style="3" customWidth="1"/>
    <col min="2" max="2" width="18.33203125" style="3" customWidth="1"/>
    <col min="3" max="3" width="19.5" style="3" customWidth="1"/>
    <col min="4" max="4" width="17.33203125" style="3" customWidth="1"/>
    <col min="5" max="5" width="18" style="3" customWidth="1"/>
    <col min="6" max="6" width="19.33203125" style="3" customWidth="1"/>
    <col min="7" max="16384" width="8.83203125" style="3"/>
  </cols>
  <sheetData>
    <row r="1" spans="1:6" ht="19" x14ac:dyDescent="0.25">
      <c r="A1" s="4" t="s">
        <v>0</v>
      </c>
    </row>
    <row r="2" spans="1:6" ht="16" x14ac:dyDescent="0.2">
      <c r="A2" s="20" t="s">
        <v>209</v>
      </c>
    </row>
    <row r="4" spans="1:6" x14ac:dyDescent="0.2">
      <c r="A4" s="73" t="s">
        <v>89</v>
      </c>
      <c r="B4" s="72" t="s">
        <v>13</v>
      </c>
      <c r="C4" s="72" t="s">
        <v>14</v>
      </c>
      <c r="D4" s="72" t="s">
        <v>15</v>
      </c>
      <c r="E4" s="72" t="s">
        <v>16</v>
      </c>
      <c r="F4" s="72" t="s">
        <v>17</v>
      </c>
    </row>
    <row r="5" spans="1:6" x14ac:dyDescent="0.2">
      <c r="A5" s="3" t="s">
        <v>210</v>
      </c>
      <c r="B5" s="10">
        <f>('P&amp;L'!B5/365)*Assumptions!C12</f>
        <v>6568767.1232876722</v>
      </c>
      <c r="C5" s="10">
        <f>('P&amp;L'!C5/365)*Assumptions!D12</f>
        <v>6823621.6027397253</v>
      </c>
      <c r="D5" s="10">
        <f>('P&amp;L'!D5/365)*Assumptions!E12</f>
        <v>7045088.2705479423</v>
      </c>
      <c r="E5" s="10">
        <f>('P&amp;L'!E5/365)*Assumptions!F12</f>
        <v>7119215.0832328768</v>
      </c>
      <c r="F5" s="10">
        <f>('P&amp;L'!F5/365)*Assumptions!G12</f>
        <v>7138560.7763938336</v>
      </c>
    </row>
    <row r="6" spans="1:6" x14ac:dyDescent="0.2">
      <c r="A6" s="3" t="s">
        <v>211</v>
      </c>
      <c r="B6" s="10">
        <f>('P&amp;L'!B6/365)*Assumptions!C13</f>
        <v>5854413.6986301374</v>
      </c>
      <c r="C6" s="10">
        <f>('P&amp;L'!C6/365)*Assumptions!D13</f>
        <v>5923484.284931507</v>
      </c>
      <c r="D6" s="10">
        <f>('P&amp;L'!D6/365)*Assumptions!E13</f>
        <v>6349206.0821917783</v>
      </c>
      <c r="E6" s="10">
        <f>('P&amp;L'!E6/365)*Assumptions!F13</f>
        <v>6163537.8410815075</v>
      </c>
      <c r="F6" s="10">
        <f>('P&amp;L'!F6/365)*Assumptions!G13</f>
        <v>6013047.6939824056</v>
      </c>
    </row>
    <row r="7" spans="1:6" ht="16" thickBot="1" x14ac:dyDescent="0.25">
      <c r="A7" s="3" t="s">
        <v>212</v>
      </c>
      <c r="B7" s="10">
        <f>('P&amp;L'!B6/365)*Assumptions!C14</f>
        <v>3965893.1506849313</v>
      </c>
      <c r="C7" s="10">
        <f>('P&amp;L'!C6/365)*Assumptions!D14</f>
        <v>4245163.7375342464</v>
      </c>
      <c r="D7" s="10">
        <f>('P&amp;L'!D6/365)*Assumptions!E14</f>
        <v>4365079.181506848</v>
      </c>
      <c r="E7" s="10">
        <f>('P&amp;L'!E6/365)*Assumptions!F14</f>
        <v>4492069.9519746583</v>
      </c>
      <c r="F7" s="10">
        <f>('P&amp;L'!F6/365)*Assumptions!G14</f>
        <v>4430666.7218817724</v>
      </c>
    </row>
    <row r="8" spans="1:6" x14ac:dyDescent="0.2">
      <c r="A8" s="74" t="s">
        <v>213</v>
      </c>
      <c r="B8" s="58">
        <f>B5+B6-B7</f>
        <v>8457287.6712328792</v>
      </c>
      <c r="C8" s="58">
        <f t="shared" ref="C8:F8" si="0">C5+C6-C7</f>
        <v>8501942.1501369849</v>
      </c>
      <c r="D8" s="58">
        <f t="shared" si="0"/>
        <v>9029215.1712328736</v>
      </c>
      <c r="E8" s="58">
        <f t="shared" si="0"/>
        <v>8790682.9723397251</v>
      </c>
      <c r="F8" s="58">
        <f t="shared" si="0"/>
        <v>8720941.7484944649</v>
      </c>
    </row>
    <row r="9" spans="1:6" x14ac:dyDescent="0.2">
      <c r="A9" s="71" t="s">
        <v>214</v>
      </c>
      <c r="B9" s="10">
        <v>0</v>
      </c>
      <c r="C9" s="10">
        <f>C8-B8</f>
        <v>44654.478904105723</v>
      </c>
      <c r="D9" s="10">
        <f>D8-B8</f>
        <v>571927.49999999441</v>
      </c>
      <c r="E9" s="10">
        <f t="shared" ref="E9:F9" si="1">E8-D8</f>
        <v>-238532.19889314845</v>
      </c>
      <c r="F9" s="10">
        <f t="shared" si="1"/>
        <v>-69741.223845260218</v>
      </c>
    </row>
    <row r="11" spans="1:6" x14ac:dyDescent="0.2">
      <c r="A11" s="18" t="s">
        <v>215</v>
      </c>
      <c r="B11" s="18"/>
      <c r="C11" s="18"/>
      <c r="D11" s="18"/>
      <c r="E11" s="18"/>
      <c r="F11" s="18"/>
    </row>
    <row r="12" spans="1:6" x14ac:dyDescent="0.2">
      <c r="A12" s="3" t="s">
        <v>216</v>
      </c>
      <c r="B12" s="3">
        <f>Assumptions!C12</f>
        <v>48</v>
      </c>
      <c r="C12" s="3">
        <f>Assumptions!D12</f>
        <v>47</v>
      </c>
      <c r="D12" s="3">
        <f>Assumptions!E12</f>
        <v>49</v>
      </c>
      <c r="E12" s="3">
        <f>Assumptions!F12</f>
        <v>46</v>
      </c>
      <c r="F12" s="3">
        <f>Assumptions!G12</f>
        <v>45</v>
      </c>
    </row>
    <row r="13" spans="1:6" x14ac:dyDescent="0.2">
      <c r="A13" s="3" t="s">
        <v>217</v>
      </c>
      <c r="B13" s="3">
        <f>Assumptions!C13</f>
        <v>62</v>
      </c>
      <c r="C13" s="3">
        <f>Assumptions!D13</f>
        <v>60</v>
      </c>
      <c r="D13" s="3">
        <f>Assumptions!E13</f>
        <v>64</v>
      </c>
      <c r="E13" s="3">
        <f>Assumptions!F13</f>
        <v>59</v>
      </c>
      <c r="F13" s="3">
        <f>Assumptions!G13</f>
        <v>57</v>
      </c>
    </row>
    <row r="14" spans="1:6" ht="16" thickBot="1" x14ac:dyDescent="0.25">
      <c r="A14" s="3" t="s">
        <v>218</v>
      </c>
      <c r="B14" s="3">
        <f>Assumptions!C14</f>
        <v>42</v>
      </c>
      <c r="C14" s="3">
        <f>Assumptions!D14</f>
        <v>43</v>
      </c>
      <c r="D14" s="3">
        <f>Assumptions!E14</f>
        <v>44</v>
      </c>
      <c r="E14" s="3">
        <f>Assumptions!F14</f>
        <v>43</v>
      </c>
      <c r="F14" s="3">
        <f>Assumptions!G14</f>
        <v>42</v>
      </c>
    </row>
    <row r="15" spans="1:6" x14ac:dyDescent="0.2">
      <c r="A15" s="74" t="s">
        <v>219</v>
      </c>
      <c r="B15" s="38">
        <f>B12+B13-B14</f>
        <v>68</v>
      </c>
      <c r="C15" s="38">
        <f t="shared" ref="C15:F15" si="2">C12+C13-C14</f>
        <v>64</v>
      </c>
      <c r="D15" s="38">
        <f t="shared" si="2"/>
        <v>69</v>
      </c>
      <c r="E15" s="38">
        <f t="shared" si="2"/>
        <v>62</v>
      </c>
      <c r="F15" s="38">
        <f t="shared" si="2"/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7393-B045-4823-A500-61B421CDA990}">
  <dimension ref="A1:F28"/>
  <sheetViews>
    <sheetView zoomScale="125" workbookViewId="0">
      <selection activeCell="A30" sqref="A30"/>
    </sheetView>
  </sheetViews>
  <sheetFormatPr baseColWidth="10" defaultColWidth="8.83203125" defaultRowHeight="15" x14ac:dyDescent="0.2"/>
  <cols>
    <col min="1" max="1" width="29.33203125" style="3" customWidth="1"/>
    <col min="2" max="2" width="21.1640625" style="3" customWidth="1"/>
    <col min="3" max="3" width="20.83203125" style="3" customWidth="1"/>
    <col min="4" max="4" width="20.1640625" style="3" customWidth="1"/>
    <col min="5" max="5" width="18.6640625" style="3" customWidth="1"/>
    <col min="6" max="6" width="22.1640625" style="3" customWidth="1"/>
    <col min="7" max="16384" width="8.83203125" style="3"/>
  </cols>
  <sheetData>
    <row r="1" spans="1:6" ht="21" x14ac:dyDescent="0.25">
      <c r="A1" s="119" t="s">
        <v>0</v>
      </c>
      <c r="B1" s="119"/>
      <c r="C1" s="119"/>
    </row>
    <row r="2" spans="1:6" ht="16" x14ac:dyDescent="0.2">
      <c r="A2" s="120" t="s">
        <v>182</v>
      </c>
      <c r="B2" s="120"/>
    </row>
    <row r="4" spans="1:6" x14ac:dyDescent="0.2">
      <c r="A4" s="22"/>
      <c r="B4" s="72" t="s">
        <v>13</v>
      </c>
      <c r="C4" s="72" t="s">
        <v>14</v>
      </c>
      <c r="D4" s="72" t="s">
        <v>15</v>
      </c>
      <c r="E4" s="72" t="s">
        <v>16</v>
      </c>
      <c r="F4" s="72" t="s">
        <v>17</v>
      </c>
    </row>
    <row r="5" spans="1:6" x14ac:dyDescent="0.2">
      <c r="A5" s="80" t="s">
        <v>155</v>
      </c>
      <c r="B5" s="81">
        <f>Revenue_Model!E8</f>
        <v>49950000</v>
      </c>
      <c r="C5" s="82">
        <f>Revenue_Model!H8</f>
        <v>52991955</v>
      </c>
      <c r="D5" s="82">
        <f>Revenue_Model!K8</f>
        <v>52478718.749999985</v>
      </c>
      <c r="E5" s="82">
        <f>Revenue_Model!N8</f>
        <v>56489424.030000001</v>
      </c>
      <c r="F5" s="82">
        <f>Revenue_Model!Q8</f>
        <v>57901659.630749986</v>
      </c>
    </row>
    <row r="6" spans="1:6" ht="16" thickBot="1" x14ac:dyDescent="0.25">
      <c r="A6" s="3" t="s">
        <v>198</v>
      </c>
      <c r="B6" s="36">
        <f>B5*(1-Assumptions!C8)</f>
        <v>34465500</v>
      </c>
      <c r="C6" s="36">
        <f>C5*(1-Assumptions!D8)</f>
        <v>36034529.399999999</v>
      </c>
      <c r="D6" s="36">
        <f>D5*(1-Assumptions!E8)</f>
        <v>36210315.937499985</v>
      </c>
      <c r="E6" s="36">
        <f>E5*(1-Assumptions!F8)</f>
        <v>38130361.220250003</v>
      </c>
      <c r="F6" s="36">
        <f>F5*(1-Assumptions!G8)</f>
        <v>38504603.65444874</v>
      </c>
    </row>
    <row r="7" spans="1:6" x14ac:dyDescent="0.2">
      <c r="A7" s="74" t="s">
        <v>183</v>
      </c>
      <c r="B7" s="40">
        <f>B5-B6</f>
        <v>15484500</v>
      </c>
      <c r="C7" s="40">
        <f t="shared" ref="C7:F7" si="0">C5-C6</f>
        <v>16957425.600000001</v>
      </c>
      <c r="D7" s="40">
        <f t="shared" si="0"/>
        <v>16268402.8125</v>
      </c>
      <c r="E7" s="40">
        <f t="shared" si="0"/>
        <v>18359062.809749998</v>
      </c>
      <c r="F7" s="40">
        <f t="shared" si="0"/>
        <v>19397055.976301245</v>
      </c>
    </row>
    <row r="8" spans="1:6" x14ac:dyDescent="0.2">
      <c r="A8" s="87" t="s">
        <v>184</v>
      </c>
      <c r="B8" s="88">
        <f>B7/B5</f>
        <v>0.31</v>
      </c>
      <c r="C8" s="88">
        <f t="shared" ref="C8:F8" si="1">C7/C5</f>
        <v>0.32</v>
      </c>
      <c r="D8" s="88">
        <f t="shared" si="1"/>
        <v>0.31000000000000011</v>
      </c>
      <c r="E8" s="88">
        <f t="shared" si="1"/>
        <v>0.32499999999999996</v>
      </c>
      <c r="F8" s="88">
        <f t="shared" si="1"/>
        <v>0.33500000000000002</v>
      </c>
    </row>
    <row r="9" spans="1:6" x14ac:dyDescent="0.2">
      <c r="A9" s="3" t="s">
        <v>185</v>
      </c>
      <c r="B9" s="12">
        <f>OpEx!B12</f>
        <v>2600000</v>
      </c>
      <c r="C9" s="12">
        <f>OpEx!C12</f>
        <v>2771127</v>
      </c>
      <c r="D9" s="12">
        <f>OpEx!D12</f>
        <v>2759768.7499999995</v>
      </c>
      <c r="E9" s="12">
        <f>OpEx!E12</f>
        <v>2960766.3820000002</v>
      </c>
      <c r="F9" s="12">
        <f>OpEx!F12</f>
        <v>3065660.5415499997</v>
      </c>
    </row>
    <row r="10" spans="1:6" x14ac:dyDescent="0.2">
      <c r="A10" s="3" t="s">
        <v>186</v>
      </c>
      <c r="B10" s="12">
        <f>Headcount!K12</f>
        <v>4778000</v>
      </c>
      <c r="C10" s="12">
        <f>Headcount!L12</f>
        <v>5403840</v>
      </c>
      <c r="D10" s="12">
        <f>Headcount!M12</f>
        <v>5478720</v>
      </c>
      <c r="E10" s="12">
        <f>Headcount!N12</f>
        <v>6007388.3999999994</v>
      </c>
      <c r="F10" s="12">
        <f>Headcount!O12</f>
        <v>6683329.925999999</v>
      </c>
    </row>
    <row r="11" spans="1:6" ht="16" thickBot="1" x14ac:dyDescent="0.25">
      <c r="A11" s="80" t="s">
        <v>187</v>
      </c>
      <c r="B11" s="82">
        <f>SUM(B9:B10)</f>
        <v>7378000</v>
      </c>
      <c r="C11" s="82">
        <f t="shared" ref="C11:F11" si="2">SUM(C9:C10)</f>
        <v>8174967</v>
      </c>
      <c r="D11" s="82">
        <f t="shared" si="2"/>
        <v>8238488.75</v>
      </c>
      <c r="E11" s="82">
        <f t="shared" si="2"/>
        <v>8968154.7819999997</v>
      </c>
      <c r="F11" s="82">
        <f t="shared" si="2"/>
        <v>9748990.4675499983</v>
      </c>
    </row>
    <row r="12" spans="1:6" x14ac:dyDescent="0.2">
      <c r="A12" s="74" t="s">
        <v>188</v>
      </c>
      <c r="B12" s="41">
        <f>B7-B11</f>
        <v>8106500</v>
      </c>
      <c r="C12" s="41">
        <f t="shared" ref="C12:F12" si="3">C7-C11</f>
        <v>8782458.6000000015</v>
      </c>
      <c r="D12" s="41">
        <f t="shared" si="3"/>
        <v>8029914.0625</v>
      </c>
      <c r="E12" s="41">
        <f t="shared" si="3"/>
        <v>9390908.0277499985</v>
      </c>
      <c r="F12" s="41">
        <f t="shared" si="3"/>
        <v>9648065.5087512471</v>
      </c>
    </row>
    <row r="13" spans="1:6" x14ac:dyDescent="0.2">
      <c r="A13" s="89" t="s">
        <v>189</v>
      </c>
      <c r="B13" s="90">
        <f>B12/B5</f>
        <v>0.16229229229229231</v>
      </c>
      <c r="C13" s="90">
        <f t="shared" ref="C13:F13" si="4">C12/C5</f>
        <v>0.16573192289282404</v>
      </c>
      <c r="D13" s="90">
        <f t="shared" si="4"/>
        <v>0.15301276886642745</v>
      </c>
      <c r="E13" s="90">
        <f t="shared" si="4"/>
        <v>0.16624187959081937</v>
      </c>
      <c r="F13" s="90">
        <f t="shared" si="4"/>
        <v>0.16662847956826826</v>
      </c>
    </row>
    <row r="14" spans="1:6" ht="16" thickBot="1" x14ac:dyDescent="0.25">
      <c r="A14" s="3" t="s">
        <v>190</v>
      </c>
      <c r="B14" s="83">
        <f>CapEx!B30</f>
        <v>200000</v>
      </c>
      <c r="C14" s="83">
        <f>CapEx!C30</f>
        <v>408438.35382513661</v>
      </c>
      <c r="D14" s="83">
        <f>CapEx!D30</f>
        <v>410569.3332848901</v>
      </c>
      <c r="E14" s="83">
        <f>CapEx!E30</f>
        <v>636551.00554259005</v>
      </c>
      <c r="F14" s="83">
        <f>CapEx!F30</f>
        <v>1127791.9938125238</v>
      </c>
    </row>
    <row r="15" spans="1:6" x14ac:dyDescent="0.2">
      <c r="A15" s="74" t="s">
        <v>191</v>
      </c>
      <c r="B15" s="41">
        <f>B12-B14</f>
        <v>7906500</v>
      </c>
      <c r="C15" s="41">
        <f t="shared" ref="C15:F15" si="5">C12-C14</f>
        <v>8374020.2461748645</v>
      </c>
      <c r="D15" s="41">
        <f t="shared" si="5"/>
        <v>7619344.7292151097</v>
      </c>
      <c r="E15" s="41">
        <f t="shared" si="5"/>
        <v>8754357.0222074091</v>
      </c>
      <c r="F15" s="41">
        <f t="shared" si="5"/>
        <v>8520273.5149387233</v>
      </c>
    </row>
    <row r="16" spans="1:6" x14ac:dyDescent="0.2">
      <c r="A16" s="89" t="s">
        <v>192</v>
      </c>
      <c r="B16" s="90">
        <f>B15/B5</f>
        <v>0.15828828828828828</v>
      </c>
      <c r="C16" s="90">
        <f t="shared" ref="C16:F16" si="6">C15/C5</f>
        <v>0.1580243689098631</v>
      </c>
      <c r="D16" s="90">
        <f t="shared" si="6"/>
        <v>0.14518922928573044</v>
      </c>
      <c r="E16" s="90">
        <f t="shared" si="6"/>
        <v>0.15497338081475584</v>
      </c>
      <c r="F16" s="90">
        <f t="shared" si="6"/>
        <v>0.14715076509506197</v>
      </c>
    </row>
    <row r="17" spans="1:6" ht="16" thickBot="1" x14ac:dyDescent="0.25">
      <c r="A17" s="3" t="s">
        <v>193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</row>
    <row r="18" spans="1:6" x14ac:dyDescent="0.2">
      <c r="A18" s="74" t="s">
        <v>194</v>
      </c>
      <c r="B18" s="41">
        <f>B15-B17</f>
        <v>7906500</v>
      </c>
      <c r="C18" s="41">
        <f t="shared" ref="C18:F18" si="7">C15-C17</f>
        <v>8374020.2461748645</v>
      </c>
      <c r="D18" s="41">
        <f t="shared" si="7"/>
        <v>7619344.7292151097</v>
      </c>
      <c r="E18" s="41">
        <f t="shared" si="7"/>
        <v>8754357.0222074091</v>
      </c>
      <c r="F18" s="41">
        <f t="shared" si="7"/>
        <v>8520273.5149387233</v>
      </c>
    </row>
    <row r="19" spans="1:6" ht="16" thickBot="1" x14ac:dyDescent="0.25">
      <c r="A19" s="3" t="s">
        <v>195</v>
      </c>
      <c r="B19" s="12">
        <f>B18*Assumptions!C16</f>
        <v>1976625</v>
      </c>
      <c r="C19" s="12">
        <f>C18*Assumptions!D16</f>
        <v>2093505.0615437161</v>
      </c>
      <c r="D19" s="12">
        <f>D18*Assumptions!E16</f>
        <v>1904836.1823037774</v>
      </c>
      <c r="E19" s="12">
        <f>E18*Assumptions!F16</f>
        <v>2188589.2555518523</v>
      </c>
      <c r="F19" s="12">
        <f>F18*Assumptions!G16</f>
        <v>2130068.3787346808</v>
      </c>
    </row>
    <row r="20" spans="1:6" ht="16" x14ac:dyDescent="0.2">
      <c r="A20" s="84" t="s">
        <v>196</v>
      </c>
      <c r="B20" s="41">
        <f>B18-B19</f>
        <v>5929875</v>
      </c>
      <c r="C20" s="41">
        <f t="shared" ref="C20:F20" si="8">C18-C19</f>
        <v>6280515.1846311484</v>
      </c>
      <c r="D20" s="41">
        <f t="shared" si="8"/>
        <v>5714508.5469113328</v>
      </c>
      <c r="E20" s="41">
        <f t="shared" si="8"/>
        <v>6565767.7666555569</v>
      </c>
      <c r="F20" s="41">
        <f t="shared" si="8"/>
        <v>6390205.1362040425</v>
      </c>
    </row>
    <row r="21" spans="1:6" x14ac:dyDescent="0.2">
      <c r="A21" s="89" t="s">
        <v>197</v>
      </c>
      <c r="B21" s="90">
        <f>B20/B5</f>
        <v>0.11871621621621621</v>
      </c>
      <c r="C21" s="90">
        <f t="shared" ref="C21:F21" si="9">C20/C5</f>
        <v>0.11851827668239732</v>
      </c>
      <c r="D21" s="90">
        <f t="shared" si="9"/>
        <v>0.10889192196429785</v>
      </c>
      <c r="E21" s="90">
        <f t="shared" si="9"/>
        <v>0.11623003561106687</v>
      </c>
      <c r="F21" s="90">
        <f t="shared" si="9"/>
        <v>0.11036307382129647</v>
      </c>
    </row>
    <row r="23" spans="1:6" x14ac:dyDescent="0.2">
      <c r="A23" s="121" t="s">
        <v>199</v>
      </c>
      <c r="B23" s="121"/>
      <c r="C23" s="79"/>
      <c r="D23" s="79"/>
      <c r="E23" s="79"/>
      <c r="F23" s="79"/>
    </row>
    <row r="24" spans="1:6" x14ac:dyDescent="0.2">
      <c r="A24" s="3" t="s">
        <v>200</v>
      </c>
      <c r="B24" s="12">
        <f>Direct_Labor!F8</f>
        <v>3236000</v>
      </c>
      <c r="C24" s="12">
        <f>Direct_Labor!M8</f>
        <v>3462851.5573770492</v>
      </c>
      <c r="D24" s="12">
        <f>Direct_Labor!L8</f>
        <v>3644171.3001144505</v>
      </c>
      <c r="E24" s="12">
        <f>Direct_Labor!O8</f>
        <v>4014929.3627873026</v>
      </c>
      <c r="F24" s="12">
        <f>Direct_Labor!Q8</f>
        <v>4376396.1627805755</v>
      </c>
    </row>
    <row r="25" spans="1:6" x14ac:dyDescent="0.2">
      <c r="A25" s="3" t="s">
        <v>201</v>
      </c>
      <c r="B25" s="10">
        <f>Sourcing_Model!F12</f>
        <v>892980</v>
      </c>
      <c r="C25" s="10">
        <f>Sourcing_Model!J12</f>
        <v>963640.80800000019</v>
      </c>
      <c r="D25" s="10">
        <f>Sourcing_Model!N12</f>
        <v>149875.33600000001</v>
      </c>
      <c r="E25" s="10">
        <f>Sourcing_Model!R12</f>
        <v>1055930.6781504001</v>
      </c>
      <c r="F25" s="10">
        <f>Sourcing_Model!V12</f>
        <v>1135588.7668959848</v>
      </c>
    </row>
    <row r="26" spans="1:6" ht="16" thickBot="1" x14ac:dyDescent="0.25">
      <c r="A26" s="3" t="s">
        <v>202</v>
      </c>
      <c r="B26" s="10">
        <f>Manufacturing_OH!C10</f>
        <v>3400000</v>
      </c>
      <c r="C26" s="10">
        <f>Manufacturing_OH!D10</f>
        <v>3510705.9426229508</v>
      </c>
      <c r="D26" s="10">
        <f>Manufacturing_OH!E10</f>
        <v>3602296.8082017703</v>
      </c>
      <c r="E26" s="10">
        <f>Manufacturing_OH!F10</f>
        <v>3779302.1141554164</v>
      </c>
      <c r="F26" s="10">
        <f>Manufacturing_OH!G10</f>
        <v>3943733.3047853564</v>
      </c>
    </row>
    <row r="27" spans="1:6" x14ac:dyDescent="0.2">
      <c r="A27" s="74" t="s">
        <v>203</v>
      </c>
      <c r="B27" s="58">
        <f>SUM(B24:B26)</f>
        <v>7528980</v>
      </c>
      <c r="C27" s="58">
        <f t="shared" ref="C27:F27" si="10">SUM(C24:C26)</f>
        <v>7937198.3080000002</v>
      </c>
      <c r="D27" s="58">
        <f t="shared" si="10"/>
        <v>7396343.4443162214</v>
      </c>
      <c r="E27" s="58">
        <f t="shared" si="10"/>
        <v>8850162.1550931185</v>
      </c>
      <c r="F27" s="58">
        <f t="shared" si="10"/>
        <v>9455718.2344619166</v>
      </c>
    </row>
    <row r="28" spans="1:6" x14ac:dyDescent="0.2">
      <c r="A28" s="86" t="s">
        <v>204</v>
      </c>
      <c r="B28" s="85">
        <f>B27-B6</f>
        <v>-26936520</v>
      </c>
      <c r="C28" s="85">
        <f t="shared" ref="C28:F28" si="11">C27-C6</f>
        <v>-28097331.092</v>
      </c>
      <c r="D28" s="85">
        <f t="shared" si="11"/>
        <v>-28813972.493183762</v>
      </c>
      <c r="E28" s="85">
        <f t="shared" si="11"/>
        <v>-29280199.065156884</v>
      </c>
      <c r="F28" s="85">
        <f t="shared" si="11"/>
        <v>-29048885.419986822</v>
      </c>
    </row>
  </sheetData>
  <mergeCells count="3">
    <mergeCell ref="A1:C1"/>
    <mergeCell ref="A2:B2"/>
    <mergeCell ref="A23:B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B537-A7B5-44B3-BFF4-7EF29F66F82D}">
  <dimension ref="A1:F21"/>
  <sheetViews>
    <sheetView zoomScale="120" zoomScaleNormal="120" workbookViewId="0">
      <selection activeCell="G22" sqref="G22"/>
    </sheetView>
  </sheetViews>
  <sheetFormatPr baseColWidth="10" defaultColWidth="8.83203125" defaultRowHeight="15" x14ac:dyDescent="0.2"/>
  <cols>
    <col min="1" max="1" width="25.6640625" style="3" customWidth="1"/>
    <col min="2" max="2" width="14.1640625" style="3" bestFit="1" customWidth="1"/>
    <col min="3" max="3" width="15.33203125" style="3" customWidth="1"/>
    <col min="4" max="6" width="14.6640625" style="3" bestFit="1" customWidth="1"/>
    <col min="7" max="16384" width="8.83203125" style="3"/>
  </cols>
  <sheetData>
    <row r="1" spans="1:6" ht="21" x14ac:dyDescent="0.25">
      <c r="A1" s="122" t="s">
        <v>0</v>
      </c>
      <c r="B1" s="122"/>
      <c r="C1" s="122"/>
      <c r="D1" s="122"/>
      <c r="E1" s="122"/>
      <c r="F1" s="122"/>
    </row>
    <row r="2" spans="1:6" ht="16" x14ac:dyDescent="0.2">
      <c r="A2" s="20" t="s">
        <v>220</v>
      </c>
    </row>
    <row r="4" spans="1:6" x14ac:dyDescent="0.2">
      <c r="A4" s="98"/>
      <c r="B4" s="72" t="s">
        <v>13</v>
      </c>
      <c r="C4" s="72" t="s">
        <v>14</v>
      </c>
      <c r="D4" s="72" t="s">
        <v>15</v>
      </c>
      <c r="E4" s="72" t="s">
        <v>16</v>
      </c>
      <c r="F4" s="72" t="s">
        <v>17</v>
      </c>
    </row>
    <row r="5" spans="1:6" x14ac:dyDescent="0.2">
      <c r="A5" s="80" t="s">
        <v>221</v>
      </c>
    </row>
    <row r="6" spans="1:6" x14ac:dyDescent="0.2">
      <c r="A6" s="3" t="s">
        <v>222</v>
      </c>
      <c r="B6" s="52">
        <f>'P&amp;L'!B20</f>
        <v>5929875</v>
      </c>
      <c r="C6" s="52">
        <f>'P&amp;L'!C20</f>
        <v>6280515.1846311484</v>
      </c>
      <c r="D6" s="52">
        <f>'P&amp;L'!D20</f>
        <v>5714508.5469113328</v>
      </c>
      <c r="E6" s="52">
        <f>'P&amp;L'!E20</f>
        <v>6565767.7666555569</v>
      </c>
      <c r="F6" s="52">
        <f>'P&amp;L'!F20</f>
        <v>6390205.1362040425</v>
      </c>
    </row>
    <row r="7" spans="1:6" x14ac:dyDescent="0.2">
      <c r="A7" s="3" t="s">
        <v>223</v>
      </c>
      <c r="B7" s="15">
        <f>CapEx!B30</f>
        <v>200000</v>
      </c>
      <c r="C7" s="15">
        <f>CapEx!C30</f>
        <v>408438.35382513661</v>
      </c>
      <c r="D7" s="15">
        <f>CapEx!D30</f>
        <v>410569.3332848901</v>
      </c>
      <c r="E7" s="15">
        <f>CapEx!E30</f>
        <v>636551.00554259005</v>
      </c>
      <c r="F7" s="15">
        <f>CapEx!F30</f>
        <v>1127791.9938125238</v>
      </c>
    </row>
    <row r="8" spans="1:6" ht="16" thickBot="1" x14ac:dyDescent="0.25">
      <c r="A8" s="3" t="s">
        <v>224</v>
      </c>
      <c r="B8" s="10">
        <f>Working_Capital!B9</f>
        <v>0</v>
      </c>
      <c r="C8" s="91">
        <f>-Working_Capital!C9</f>
        <v>-44654.478904105723</v>
      </c>
      <c r="D8" s="91">
        <f>-Working_Capital!D9</f>
        <v>-571927.49999999441</v>
      </c>
      <c r="E8" s="91">
        <f>-Working_Capital!E9</f>
        <v>238532.19889314845</v>
      </c>
      <c r="F8" s="91">
        <f>-Working_Capital!F9</f>
        <v>69741.223845260218</v>
      </c>
    </row>
    <row r="9" spans="1:6" x14ac:dyDescent="0.2">
      <c r="A9" s="74" t="s">
        <v>225</v>
      </c>
      <c r="B9" s="63">
        <f>SUM(B6:B8)</f>
        <v>6129875</v>
      </c>
      <c r="C9" s="63">
        <f t="shared" ref="C9:F9" si="0">SUM(C6:C8)</f>
        <v>6644299.0595521796</v>
      </c>
      <c r="D9" s="63">
        <f t="shared" si="0"/>
        <v>5553150.3801962286</v>
      </c>
      <c r="E9" s="63">
        <f t="shared" si="0"/>
        <v>7440850.9710912956</v>
      </c>
      <c r="F9" s="63">
        <f t="shared" si="0"/>
        <v>7587738.3538618265</v>
      </c>
    </row>
    <row r="11" spans="1:6" x14ac:dyDescent="0.2">
      <c r="A11" s="80" t="s">
        <v>226</v>
      </c>
    </row>
    <row r="12" spans="1:6" ht="16" thickBot="1" x14ac:dyDescent="0.25">
      <c r="A12" s="3" t="s">
        <v>227</v>
      </c>
      <c r="B12" s="15">
        <f>-CapEx!B10</f>
        <v>-1750000</v>
      </c>
      <c r="C12" s="15">
        <f>-CapEx!C10</f>
        <v>-1810216.8715846995</v>
      </c>
      <c r="D12" s="15">
        <f>-CapEx!D10</f>
        <v>-1845116.4097719779</v>
      </c>
      <c r="E12" s="15">
        <f>-CapEx!E10</f>
        <v>-2020265.4405257178</v>
      </c>
      <c r="F12" s="15">
        <f>-CapEx!F10</f>
        <v>-4690807.3185967719</v>
      </c>
    </row>
    <row r="13" spans="1:6" x14ac:dyDescent="0.2">
      <c r="A13" s="74" t="s">
        <v>228</v>
      </c>
      <c r="B13" s="99">
        <f>B12</f>
        <v>-1750000</v>
      </c>
      <c r="C13" s="99">
        <f t="shared" ref="C13:F13" si="1">C12</f>
        <v>-1810216.8715846995</v>
      </c>
      <c r="D13" s="99">
        <f t="shared" si="1"/>
        <v>-1845116.4097719779</v>
      </c>
      <c r="E13" s="99">
        <f t="shared" si="1"/>
        <v>-2020265.4405257178</v>
      </c>
      <c r="F13" s="99">
        <f t="shared" si="1"/>
        <v>-4690807.3185967719</v>
      </c>
    </row>
    <row r="15" spans="1:6" x14ac:dyDescent="0.2">
      <c r="A15" s="80" t="s">
        <v>229</v>
      </c>
    </row>
    <row r="16" spans="1:6" ht="16" thickBot="1" x14ac:dyDescent="0.25">
      <c r="A16" s="3" t="s">
        <v>230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</row>
    <row r="17" spans="1:6" x14ac:dyDescent="0.2">
      <c r="A17" s="74" t="s">
        <v>231</v>
      </c>
      <c r="B17" s="100">
        <f>B16</f>
        <v>0</v>
      </c>
      <c r="C17" s="100">
        <f t="shared" ref="C17:F17" si="2">C16</f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</row>
    <row r="19" spans="1:6" x14ac:dyDescent="0.2">
      <c r="A19" s="80" t="s">
        <v>232</v>
      </c>
      <c r="B19" s="82">
        <f>B17+B13+B9</f>
        <v>4379875</v>
      </c>
      <c r="C19" s="82">
        <f t="shared" ref="C19:F19" si="3">C17+C13+C9</f>
        <v>4834082.1879674802</v>
      </c>
      <c r="D19" s="82">
        <f>D17+D13+D9</f>
        <v>3708033.9704242507</v>
      </c>
      <c r="E19" s="82">
        <f t="shared" si="3"/>
        <v>5420585.5305655776</v>
      </c>
      <c r="F19" s="82">
        <f t="shared" si="3"/>
        <v>2896931.0352650546</v>
      </c>
    </row>
    <row r="20" spans="1:6" ht="16" thickBot="1" x14ac:dyDescent="0.25">
      <c r="A20" s="3" t="s">
        <v>233</v>
      </c>
      <c r="B20" s="94">
        <v>2000000</v>
      </c>
      <c r="C20" s="12">
        <f>B21</f>
        <v>6379875</v>
      </c>
      <c r="D20" s="12">
        <f>B21</f>
        <v>6379875</v>
      </c>
      <c r="E20" s="12">
        <f t="shared" ref="E20:F20" si="4">D21</f>
        <v>10087908.97042425</v>
      </c>
      <c r="F20" s="12">
        <f t="shared" si="4"/>
        <v>15508494.500989828</v>
      </c>
    </row>
    <row r="21" spans="1:6" ht="16" x14ac:dyDescent="0.2">
      <c r="A21" s="84" t="s">
        <v>234</v>
      </c>
      <c r="B21" s="41">
        <f>B20+B19</f>
        <v>6379875</v>
      </c>
      <c r="C21" s="41">
        <f t="shared" ref="C21:F21" si="5">C20+C19</f>
        <v>11213957.187967479</v>
      </c>
      <c r="D21" s="41">
        <f t="shared" si="5"/>
        <v>10087908.97042425</v>
      </c>
      <c r="E21" s="41">
        <f t="shared" si="5"/>
        <v>15508494.500989828</v>
      </c>
      <c r="F21" s="41">
        <f t="shared" si="5"/>
        <v>18405425.536254883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6724-34F6-4A41-8D1C-2005F91845F7}">
  <dimension ref="A1:F12"/>
  <sheetViews>
    <sheetView zoomScale="120" zoomScaleNormal="120" workbookViewId="0">
      <selection activeCell="A14" sqref="A14"/>
    </sheetView>
  </sheetViews>
  <sheetFormatPr baseColWidth="10" defaultColWidth="8.83203125" defaultRowHeight="15" x14ac:dyDescent="0.2"/>
  <cols>
    <col min="1" max="1" width="24.5" style="3" customWidth="1"/>
    <col min="2" max="2" width="19.33203125" style="3" customWidth="1"/>
    <col min="3" max="3" width="19.83203125" style="3" customWidth="1"/>
    <col min="4" max="4" width="20" style="3" customWidth="1"/>
    <col min="5" max="5" width="13.5" style="3" customWidth="1"/>
    <col min="6" max="6" width="25.83203125" style="3" customWidth="1"/>
    <col min="7" max="16384" width="8.83203125" style="3"/>
  </cols>
  <sheetData>
    <row r="1" spans="1:6" ht="19" x14ac:dyDescent="0.25">
      <c r="A1" s="4" t="s">
        <v>0</v>
      </c>
    </row>
    <row r="2" spans="1:6" x14ac:dyDescent="0.2">
      <c r="A2" s="96" t="s">
        <v>235</v>
      </c>
    </row>
    <row r="4" spans="1:6" x14ac:dyDescent="0.2">
      <c r="A4" s="22" t="s">
        <v>89</v>
      </c>
      <c r="B4" s="72" t="s">
        <v>14</v>
      </c>
      <c r="C4" s="72" t="s">
        <v>15</v>
      </c>
      <c r="D4" s="72" t="s">
        <v>237</v>
      </c>
      <c r="E4" s="72" t="s">
        <v>238</v>
      </c>
      <c r="F4" s="72" t="s">
        <v>239</v>
      </c>
    </row>
    <row r="5" spans="1:6" x14ac:dyDescent="0.2">
      <c r="A5" s="3" t="s">
        <v>155</v>
      </c>
      <c r="B5" s="12">
        <f>'P&amp;L'!C5</f>
        <v>52991955</v>
      </c>
      <c r="C5" s="12">
        <f>'P&amp;L'!D5</f>
        <v>52478718.749999985</v>
      </c>
      <c r="D5" s="12">
        <f>C5-B5</f>
        <v>-513236.2500000149</v>
      </c>
      <c r="E5" s="13">
        <f>IFERROR(D5/B5,0)</f>
        <v>-9.6851729663496068E-3</v>
      </c>
      <c r="F5" s="25" t="str">
        <f>IF(D5&gt;=0,"Favorable","Unfavorable")</f>
        <v>Unfavorable</v>
      </c>
    </row>
    <row r="6" spans="1:6" x14ac:dyDescent="0.2">
      <c r="A6" s="3" t="s">
        <v>236</v>
      </c>
      <c r="B6" s="12">
        <f>'P&amp;L'!C6</f>
        <v>36034529.399999999</v>
      </c>
      <c r="C6" s="12">
        <f>'P&amp;L'!D6</f>
        <v>36210315.937499985</v>
      </c>
      <c r="D6" s="12">
        <f t="shared" ref="D6:D12" si="0">C6-B6</f>
        <v>175786.53749998659</v>
      </c>
      <c r="E6" s="13">
        <f t="shared" ref="E6:E12" si="1">IFERROR(D6/B6,0)</f>
        <v>4.8782803723804585E-3</v>
      </c>
      <c r="F6" s="25" t="str">
        <f>IF(D6&lt;=0,"Favorable","Unfavorable")</f>
        <v>Unfavorable</v>
      </c>
    </row>
    <row r="7" spans="1:6" x14ac:dyDescent="0.2">
      <c r="A7" s="3" t="s">
        <v>183</v>
      </c>
      <c r="B7" s="12">
        <f>'P&amp;L'!C7</f>
        <v>16957425.600000001</v>
      </c>
      <c r="C7" s="12">
        <f>'P&amp;L'!D7</f>
        <v>16268402.8125</v>
      </c>
      <c r="D7" s="12">
        <f t="shared" si="0"/>
        <v>-689022.78750000149</v>
      </c>
      <c r="E7" s="13">
        <f t="shared" si="1"/>
        <v>-4.0632511311150997E-2</v>
      </c>
      <c r="F7" s="25" t="str">
        <f t="shared" ref="F7:F12" si="2">IF(D7&gt;=0,"Favorable","Unfavorable")</f>
        <v>Unfavorable</v>
      </c>
    </row>
    <row r="8" spans="1:6" x14ac:dyDescent="0.2">
      <c r="A8" s="3" t="s">
        <v>184</v>
      </c>
      <c r="B8" s="13">
        <f>'P&amp;L'!C8</f>
        <v>0.32</v>
      </c>
      <c r="C8" s="13">
        <f>'P&amp;L'!D8</f>
        <v>0.31000000000000011</v>
      </c>
      <c r="D8" s="13">
        <f t="shared" si="0"/>
        <v>-9.9999999999998979E-3</v>
      </c>
      <c r="E8" s="13">
        <f t="shared" si="1"/>
        <v>-3.1249999999999681E-2</v>
      </c>
      <c r="F8" s="25" t="str">
        <f t="shared" si="2"/>
        <v>Unfavorable</v>
      </c>
    </row>
    <row r="9" spans="1:6" x14ac:dyDescent="0.2">
      <c r="A9" s="3" t="s">
        <v>187</v>
      </c>
      <c r="B9" s="12">
        <f>'P&amp;L'!C11</f>
        <v>8174967</v>
      </c>
      <c r="C9" s="12">
        <f>'P&amp;L'!D11</f>
        <v>8238488.75</v>
      </c>
      <c r="D9" s="12">
        <f t="shared" si="0"/>
        <v>63521.75</v>
      </c>
      <c r="E9" s="13">
        <f t="shared" si="1"/>
        <v>7.7702760145698449E-3</v>
      </c>
      <c r="F9" s="25" t="str">
        <f>IF(D9&lt;=0,"Favorable","Unfavorable")</f>
        <v>Unfavorable</v>
      </c>
    </row>
    <row r="10" spans="1:6" x14ac:dyDescent="0.2">
      <c r="A10" s="3" t="s">
        <v>188</v>
      </c>
      <c r="B10" s="12">
        <f>'P&amp;L'!C12</f>
        <v>8782458.6000000015</v>
      </c>
      <c r="C10" s="12">
        <f>'P&amp;L'!D12</f>
        <v>8029914.0625</v>
      </c>
      <c r="D10" s="12">
        <f t="shared" si="0"/>
        <v>-752544.53750000149</v>
      </c>
      <c r="E10" s="13">
        <f t="shared" si="1"/>
        <v>-8.5687228574012453E-2</v>
      </c>
      <c r="F10" s="25" t="str">
        <f t="shared" si="2"/>
        <v>Unfavorable</v>
      </c>
    </row>
    <row r="11" spans="1:6" x14ac:dyDescent="0.2">
      <c r="A11" s="3" t="s">
        <v>191</v>
      </c>
      <c r="B11" s="12">
        <f>'P&amp;L'!C15</f>
        <v>8374020.2461748645</v>
      </c>
      <c r="C11" s="12">
        <f>'P&amp;L'!D15</f>
        <v>7619344.7292151097</v>
      </c>
      <c r="D11" s="12">
        <f t="shared" si="0"/>
        <v>-754675.51695975475</v>
      </c>
      <c r="E11" s="13">
        <f t="shared" si="1"/>
        <v>-9.0121052346927397E-2</v>
      </c>
      <c r="F11" s="25" t="str">
        <f t="shared" si="2"/>
        <v>Unfavorable</v>
      </c>
    </row>
    <row r="12" spans="1:6" x14ac:dyDescent="0.2">
      <c r="A12" s="3" t="s">
        <v>196</v>
      </c>
      <c r="B12" s="12">
        <f>'P&amp;L'!C20</f>
        <v>6280515.1846311484</v>
      </c>
      <c r="C12" s="12">
        <f>'P&amp;L'!D20</f>
        <v>5714508.5469113328</v>
      </c>
      <c r="D12" s="12">
        <f t="shared" si="0"/>
        <v>-566006.6377198156</v>
      </c>
      <c r="E12" s="13">
        <f t="shared" si="1"/>
        <v>-9.0121052346927313E-2</v>
      </c>
      <c r="F12" s="25" t="str">
        <f t="shared" si="2"/>
        <v>Unfavorable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B3E-B2AE-4D49-8E45-6809B3A9C6C3}">
  <dimension ref="A1:E13"/>
  <sheetViews>
    <sheetView zoomScale="130" zoomScaleNormal="130" workbookViewId="0">
      <selection activeCell="C19" sqref="C19"/>
    </sheetView>
  </sheetViews>
  <sheetFormatPr baseColWidth="10" defaultColWidth="8.83203125" defaultRowHeight="15" x14ac:dyDescent="0.2"/>
  <cols>
    <col min="1" max="1" width="22.33203125" style="3" customWidth="1"/>
    <col min="2" max="2" width="20" style="3" customWidth="1"/>
    <col min="3" max="3" width="19" style="3" customWidth="1"/>
    <col min="4" max="4" width="19.1640625" style="3" customWidth="1"/>
    <col min="5" max="5" width="21.6640625" style="3" customWidth="1"/>
    <col min="6" max="16384" width="8.83203125" style="3"/>
  </cols>
  <sheetData>
    <row r="1" spans="1:5" ht="19" x14ac:dyDescent="0.25">
      <c r="A1" s="4" t="s">
        <v>0</v>
      </c>
    </row>
    <row r="2" spans="1:5" x14ac:dyDescent="0.2">
      <c r="A2" s="95" t="s">
        <v>240</v>
      </c>
    </row>
    <row r="4" spans="1:5" x14ac:dyDescent="0.2">
      <c r="A4" s="102" t="s">
        <v>89</v>
      </c>
      <c r="B4" s="103" t="s">
        <v>13</v>
      </c>
      <c r="C4" s="103" t="s">
        <v>15</v>
      </c>
      <c r="D4" s="103" t="s">
        <v>16</v>
      </c>
      <c r="E4" s="103" t="s">
        <v>17</v>
      </c>
    </row>
    <row r="5" spans="1:5" x14ac:dyDescent="0.2">
      <c r="A5" s="3" t="s">
        <v>155</v>
      </c>
      <c r="B5" s="15">
        <f>'P&amp;L'!B5</f>
        <v>49950000</v>
      </c>
      <c r="C5" s="15">
        <f>'P&amp;L'!D5</f>
        <v>52478718.749999985</v>
      </c>
      <c r="D5" s="15">
        <f>'P&amp;L'!E5</f>
        <v>56489424.030000001</v>
      </c>
      <c r="E5" s="15">
        <f>'P&amp;L'!F5</f>
        <v>57901659.630749986</v>
      </c>
    </row>
    <row r="6" spans="1:5" x14ac:dyDescent="0.2">
      <c r="A6" s="71" t="s">
        <v>241</v>
      </c>
      <c r="B6" s="6" t="s">
        <v>243</v>
      </c>
      <c r="C6" s="13">
        <f>C5/B5-1</f>
        <v>5.0624999999999698E-2</v>
      </c>
      <c r="D6" s="13">
        <f t="shared" ref="D6:E6" si="0">D5/C5-1</f>
        <v>7.6425365853658889E-2</v>
      </c>
      <c r="E6" s="13">
        <f t="shared" si="0"/>
        <v>2.4999999999999689E-2</v>
      </c>
    </row>
    <row r="7" spans="1:5" x14ac:dyDescent="0.2">
      <c r="A7" s="3" t="s">
        <v>184</v>
      </c>
      <c r="B7" s="13">
        <f>'P&amp;L'!B8</f>
        <v>0.31</v>
      </c>
      <c r="C7" s="13">
        <f>'P&amp;L'!D8</f>
        <v>0.31000000000000011</v>
      </c>
      <c r="D7" s="13">
        <f>'P&amp;L'!E8</f>
        <v>0.32499999999999996</v>
      </c>
      <c r="E7" s="13">
        <f>'P&amp;L'!F8</f>
        <v>0.33500000000000002</v>
      </c>
    </row>
    <row r="8" spans="1:5" x14ac:dyDescent="0.2">
      <c r="A8" s="3" t="s">
        <v>189</v>
      </c>
      <c r="B8" s="13">
        <f>'P&amp;L'!B13</f>
        <v>0.16229229229229231</v>
      </c>
      <c r="C8" s="13">
        <f>'P&amp;L'!C13</f>
        <v>0.16573192289282404</v>
      </c>
      <c r="D8" s="13">
        <f>'P&amp;L'!D13</f>
        <v>0.15301276886642745</v>
      </c>
      <c r="E8" s="13">
        <f>'P&amp;L'!E13</f>
        <v>0.16624187959081937</v>
      </c>
    </row>
    <row r="9" spans="1:5" x14ac:dyDescent="0.2">
      <c r="A9" s="3" t="s">
        <v>192</v>
      </c>
      <c r="B9" s="13">
        <f>'P&amp;L'!B16</f>
        <v>0.15828828828828828</v>
      </c>
      <c r="C9" s="13">
        <f>'P&amp;L'!D16</f>
        <v>0.14518922928573044</v>
      </c>
      <c r="D9" s="13">
        <f>'P&amp;L'!E16</f>
        <v>0.15497338081475584</v>
      </c>
      <c r="E9" s="13">
        <f>'P&amp;L'!F16</f>
        <v>0.14715076509506197</v>
      </c>
    </row>
    <row r="10" spans="1:5" x14ac:dyDescent="0.2">
      <c r="A10" s="3" t="s">
        <v>197</v>
      </c>
      <c r="B10" s="13">
        <f>'P&amp;L'!B21</f>
        <v>0.11871621621621621</v>
      </c>
      <c r="C10" s="13">
        <f>'P&amp;L'!D21</f>
        <v>0.10889192196429785</v>
      </c>
      <c r="D10" s="13">
        <f>'P&amp;L'!E21</f>
        <v>0.11623003561106687</v>
      </c>
      <c r="E10" s="13">
        <f>'P&amp;L'!F21</f>
        <v>0.11036307382129647</v>
      </c>
    </row>
    <row r="11" spans="1:5" x14ac:dyDescent="0.2">
      <c r="A11" s="80" t="s">
        <v>196</v>
      </c>
      <c r="B11" s="92">
        <f>'P&amp;L'!B20</f>
        <v>5929875</v>
      </c>
      <c r="C11" s="92">
        <f>'P&amp;L'!D20</f>
        <v>5714508.5469113328</v>
      </c>
      <c r="D11" s="92">
        <f>'P&amp;L'!E20</f>
        <v>6565767.7666555569</v>
      </c>
      <c r="E11" s="92">
        <f>'P&amp;L'!F20</f>
        <v>6390205.1362040425</v>
      </c>
    </row>
    <row r="12" spans="1:5" x14ac:dyDescent="0.2">
      <c r="A12" s="80" t="s">
        <v>242</v>
      </c>
      <c r="B12" s="101">
        <f>Cash_Flow!B9+Cash_Flow!B12</f>
        <v>4379875</v>
      </c>
      <c r="C12" s="101">
        <f>Cash_Flow!D9+Cash_Flow!D12</f>
        <v>3708033.9704242507</v>
      </c>
      <c r="D12" s="101">
        <f>Cash_Flow!E9+Cash_Flow!E12</f>
        <v>5420585.5305655776</v>
      </c>
      <c r="E12" s="101">
        <f>Cash_Flow!F9+Cash_Flow!F12</f>
        <v>2896931.0352650546</v>
      </c>
    </row>
    <row r="13" spans="1:5" x14ac:dyDescent="0.2">
      <c r="A13" s="3" t="s">
        <v>234</v>
      </c>
      <c r="B13" s="52">
        <f>Cash_Flow!B21</f>
        <v>6379875</v>
      </c>
      <c r="C13" s="52">
        <f>Cash_Flow!D21</f>
        <v>10087908.97042425</v>
      </c>
      <c r="D13" s="52">
        <f>Cash_Flow!E21</f>
        <v>15508494.500989828</v>
      </c>
      <c r="E13" s="52">
        <f>Cash_Flow!F21</f>
        <v>18405425.536254883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58BB-20BB-4936-9D4A-179D8AA2FD3F}">
  <dimension ref="A1:H11"/>
  <sheetViews>
    <sheetView tabSelected="1" zoomScale="120" zoomScaleNormal="120" workbookViewId="0">
      <selection activeCell="B9" sqref="B9"/>
    </sheetView>
  </sheetViews>
  <sheetFormatPr baseColWidth="10" defaultColWidth="8.83203125" defaultRowHeight="15" x14ac:dyDescent="0.2"/>
  <cols>
    <col min="1" max="1" width="33.5" style="3" customWidth="1"/>
    <col min="2" max="2" width="18.6640625" style="3" bestFit="1" customWidth="1"/>
    <col min="3" max="3" width="19.1640625" style="3" bestFit="1" customWidth="1"/>
    <col min="4" max="4" width="14.5" style="3" customWidth="1"/>
    <col min="5" max="5" width="19.33203125" style="3" customWidth="1"/>
    <col min="6" max="6" width="14" style="3" customWidth="1"/>
    <col min="7" max="8" width="14.1640625" style="3" bestFit="1" customWidth="1"/>
    <col min="9" max="16384" width="8.83203125" style="3"/>
  </cols>
  <sheetData>
    <row r="1" spans="1:8" ht="24" x14ac:dyDescent="0.3">
      <c r="A1" s="78" t="s">
        <v>0</v>
      </c>
    </row>
    <row r="2" spans="1:8" x14ac:dyDescent="0.2">
      <c r="A2" s="96" t="s">
        <v>244</v>
      </c>
    </row>
    <row r="4" spans="1:8" x14ac:dyDescent="0.2">
      <c r="A4" s="102" t="s">
        <v>245</v>
      </c>
      <c r="B4" s="103" t="s">
        <v>246</v>
      </c>
      <c r="C4" s="103" t="s">
        <v>247</v>
      </c>
      <c r="D4" s="103" t="s">
        <v>155</v>
      </c>
      <c r="E4" s="103" t="s">
        <v>183</v>
      </c>
      <c r="F4" s="103" t="s">
        <v>184</v>
      </c>
      <c r="G4" s="103" t="s">
        <v>248</v>
      </c>
      <c r="H4" s="103" t="s">
        <v>196</v>
      </c>
    </row>
    <row r="5" spans="1:8" x14ac:dyDescent="0.2">
      <c r="A5" s="3" t="s">
        <v>249</v>
      </c>
      <c r="B5" s="16">
        <v>-0.03</v>
      </c>
      <c r="C5" s="16">
        <v>-1.4999999999999999E-2</v>
      </c>
      <c r="D5" s="10">
        <f>'P&amp;L'!$B$5*(1+Assumptions!$E$5+Scenario_Analysis!B5)</f>
        <v>50949000</v>
      </c>
      <c r="E5" s="10">
        <f>D5*F5</f>
        <v>15029955</v>
      </c>
      <c r="F5" s="16">
        <f>Assumptions!$E$8+Scenario_Analysis!C5</f>
        <v>0.29499999999999998</v>
      </c>
      <c r="G5" s="10">
        <f>E5-'P&amp;L'!$D$11-'P&amp;L'!$D$14</f>
        <v>6380896.9167151097</v>
      </c>
      <c r="H5" s="10">
        <f>G5*(1-Assumptions!$E$16)</f>
        <v>4785672.6875363328</v>
      </c>
    </row>
    <row r="6" spans="1:8" x14ac:dyDescent="0.2">
      <c r="A6" s="3" t="s">
        <v>250</v>
      </c>
      <c r="B6" s="16">
        <v>0</v>
      </c>
      <c r="C6" s="16">
        <v>0</v>
      </c>
      <c r="D6" s="10">
        <f>'P&amp;L'!$B$5*(1+Assumptions!$E$5+Scenario_Analysis!B6)</f>
        <v>52447500</v>
      </c>
      <c r="E6" s="10">
        <f t="shared" ref="E6:E7" si="0">D6*F6</f>
        <v>16258725</v>
      </c>
      <c r="F6" s="16">
        <f>Assumptions!$E$8+Scenario_Analysis!C6</f>
        <v>0.31</v>
      </c>
      <c r="G6" s="10">
        <f>E6-'P&amp;L'!$D$11-'P&amp;L'!$D$14</f>
        <v>7609666.9167151097</v>
      </c>
      <c r="H6" s="10">
        <f>G6*(1-Assumptions!$E$16)</f>
        <v>5707250.1875363328</v>
      </c>
    </row>
    <row r="7" spans="1:8" x14ac:dyDescent="0.2">
      <c r="A7" s="3" t="s">
        <v>177</v>
      </c>
      <c r="B7" s="16">
        <v>0.02</v>
      </c>
      <c r="C7" s="11">
        <v>0.01</v>
      </c>
      <c r="D7" s="10">
        <f>'P&amp;L'!$B$5*(1+Assumptions!$E$5+Scenario_Analysis!B7)</f>
        <v>53446500</v>
      </c>
      <c r="E7" s="10">
        <f t="shared" si="0"/>
        <v>17102880</v>
      </c>
      <c r="F7" s="16">
        <f>Assumptions!$E$8+Scenario_Analysis!C7</f>
        <v>0.32</v>
      </c>
      <c r="G7" s="10">
        <f>E7-'P&amp;L'!$D$11-'P&amp;L'!$D$14</f>
        <v>8453821.9167151097</v>
      </c>
      <c r="H7" s="10">
        <f>G7*(1-Assumptions!$E$16)</f>
        <v>6340366.4375363328</v>
      </c>
    </row>
    <row r="9" spans="1:8" x14ac:dyDescent="0.2">
      <c r="A9" s="27" t="s">
        <v>251</v>
      </c>
      <c r="B9" s="27" t="str">
        <f>'Control Panel'!C4</f>
        <v>Upside</v>
      </c>
    </row>
    <row r="10" spans="1:8" x14ac:dyDescent="0.2">
      <c r="B10" s="97" t="s">
        <v>155</v>
      </c>
      <c r="C10" s="97" t="s">
        <v>183</v>
      </c>
      <c r="D10" s="97" t="s">
        <v>184</v>
      </c>
      <c r="E10" s="97" t="s">
        <v>248</v>
      </c>
      <c r="F10" s="97" t="s">
        <v>196</v>
      </c>
    </row>
    <row r="11" spans="1:8" x14ac:dyDescent="0.2">
      <c r="B11" s="104">
        <f>INDEX(D5:D7,MATCH($B$9,$A$5:$A$7,0))</f>
        <v>53446500</v>
      </c>
      <c r="C11" s="104">
        <f t="shared" ref="C11:F11" si="1">INDEX(E5:E7,MATCH($B$9,$A$5:$A$7,0))</f>
        <v>17102880</v>
      </c>
      <c r="D11" s="105">
        <f t="shared" si="1"/>
        <v>0.32</v>
      </c>
      <c r="E11" s="104">
        <f t="shared" si="1"/>
        <v>8453821.9167151097</v>
      </c>
      <c r="F11" s="104">
        <f t="shared" si="1"/>
        <v>6340366.4375363328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588F-0AA4-452F-8C2D-960F554B99FB}">
  <dimension ref="A1:F10"/>
  <sheetViews>
    <sheetView zoomScale="120" zoomScaleNormal="120" workbookViewId="0">
      <selection activeCell="E8" sqref="E8"/>
    </sheetView>
  </sheetViews>
  <sheetFormatPr baseColWidth="10" defaultColWidth="8.83203125" defaultRowHeight="15" x14ac:dyDescent="0.2"/>
  <cols>
    <col min="1" max="1" width="19.6640625" style="3" customWidth="1"/>
    <col min="2" max="2" width="23.6640625" style="3" customWidth="1"/>
    <col min="3" max="3" width="14.5" style="3" bestFit="1" customWidth="1"/>
    <col min="4" max="4" width="15.6640625" style="3" customWidth="1"/>
    <col min="5" max="5" width="19" style="3" customWidth="1"/>
    <col min="6" max="16384" width="8.83203125" style="3"/>
  </cols>
  <sheetData>
    <row r="1" spans="1:6" ht="19" x14ac:dyDescent="0.25">
      <c r="A1" s="4" t="s">
        <v>0</v>
      </c>
    </row>
    <row r="2" spans="1:6" x14ac:dyDescent="0.2">
      <c r="A2" s="96" t="s">
        <v>252</v>
      </c>
    </row>
    <row r="4" spans="1:6" x14ac:dyDescent="0.2">
      <c r="A4" s="102" t="s">
        <v>35</v>
      </c>
      <c r="B4" s="103" t="s">
        <v>253</v>
      </c>
      <c r="C4" s="103" t="s">
        <v>254</v>
      </c>
      <c r="D4" s="103" t="s">
        <v>255</v>
      </c>
      <c r="E4" s="103" t="s">
        <v>161</v>
      </c>
    </row>
    <row r="5" spans="1:6" x14ac:dyDescent="0.2">
      <c r="A5" s="3" t="str">
        <f>[1]Revenue_Model!A3</f>
        <v>Precision Components</v>
      </c>
      <c r="B5" s="15">
        <f>Revenue_Model!H5</f>
        <v>23551980</v>
      </c>
      <c r="C5" s="106">
        <f>(Revenue_Model!I5-Revenue_Model!F5)*Revenue_Model!G5</f>
        <v>-114330.00000000278</v>
      </c>
      <c r="D5" s="15">
        <f>(Revenue_Model!J5-Revenue_Model!G5)*Revenue_Model!I5</f>
        <v>-113775.00000000487</v>
      </c>
      <c r="E5" s="15">
        <f>Revenue_Model!K5</f>
        <v>23323874.999999993</v>
      </c>
      <c r="F5" s="15"/>
    </row>
    <row r="6" spans="1:6" x14ac:dyDescent="0.2">
      <c r="A6" s="3" t="str">
        <f>[1]Revenue_Model!A4</f>
        <v>Industrial Assemblies</v>
      </c>
      <c r="B6" s="15">
        <f>Revenue_Model!H6</f>
        <v>17929210</v>
      </c>
      <c r="C6" s="106">
        <f>(Revenue_Model!I6-Revenue_Model!F6)*Revenue_Model!G6</f>
        <v>-87035</v>
      </c>
      <c r="D6" s="15">
        <f>(Revenue_Model!J6-Revenue_Model!G6)*Revenue_Model!I6</f>
        <v>-86612.500000000757</v>
      </c>
      <c r="E6" s="15">
        <f>Revenue_Model!K6</f>
        <v>17755562.5</v>
      </c>
      <c r="F6" s="15"/>
    </row>
    <row r="7" spans="1:6" ht="16" thickBot="1" x14ac:dyDescent="0.25">
      <c r="A7" s="3" t="str">
        <f>[1]Revenue_Model!A5</f>
        <v>Automotive Components</v>
      </c>
      <c r="B7" s="15">
        <f>Revenue_Model!H7</f>
        <v>11510765</v>
      </c>
      <c r="C7" s="106">
        <f>(Revenue_Model!I7-Revenue_Model!F7)*Revenue_Model!G7</f>
        <v>-55877.50000000131</v>
      </c>
      <c r="D7" s="15">
        <f>(Revenue_Model!J7-Revenue_Model!G7)*Revenue_Model!I7</f>
        <v>-55606.250000001797</v>
      </c>
      <c r="E7" s="15">
        <f>Revenue_Model!K7</f>
        <v>11399281.249999996</v>
      </c>
      <c r="F7" s="15"/>
    </row>
    <row r="8" spans="1:6" x14ac:dyDescent="0.2">
      <c r="A8" s="74" t="s">
        <v>256</v>
      </c>
      <c r="B8" s="57">
        <f>SUM(B5:B7)</f>
        <v>52991955</v>
      </c>
      <c r="C8" s="107">
        <f t="shared" ref="C8:E8" si="0">SUM(C5:C7)</f>
        <v>-257242.5000000041</v>
      </c>
      <c r="D8" s="57">
        <f t="shared" si="0"/>
        <v>-255993.75000000745</v>
      </c>
      <c r="E8" s="57">
        <f t="shared" si="0"/>
        <v>52478718.749999985</v>
      </c>
      <c r="F8" s="15"/>
    </row>
    <row r="10" spans="1:6" x14ac:dyDescent="0.2">
      <c r="A10" s="108" t="s">
        <v>257</v>
      </c>
      <c r="B10" s="93">
        <f>B8+C8+D8</f>
        <v>52478718.749999985</v>
      </c>
      <c r="C10" s="108" t="s">
        <v>258</v>
      </c>
      <c r="D10" s="93">
        <f>E8</f>
        <v>52478718.749999985</v>
      </c>
      <c r="E10" s="108" t="str">
        <f>IF(ROUND(B10-D10,0)=0,"Ties Out","CHECK")</f>
        <v>Ties Out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4ACB-4A46-41B4-ACDC-172F9291B6F3}">
  <dimension ref="A1:F16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34.83203125" style="3" customWidth="1"/>
    <col min="2" max="2" width="16.1640625" style="3" customWidth="1"/>
    <col min="3" max="3" width="18" style="3" customWidth="1"/>
    <col min="4" max="4" width="20.5" style="3" customWidth="1"/>
    <col min="5" max="5" width="16.33203125" style="3" customWidth="1"/>
    <col min="6" max="6" width="18.83203125" style="3" customWidth="1"/>
    <col min="7" max="16384" width="8.83203125" style="3"/>
  </cols>
  <sheetData>
    <row r="1" spans="1:6" ht="21" x14ac:dyDescent="0.25">
      <c r="A1" s="17" t="s">
        <v>0</v>
      </c>
    </row>
    <row r="2" spans="1:6" ht="19" x14ac:dyDescent="0.25">
      <c r="A2" s="109" t="s">
        <v>261</v>
      </c>
    </row>
    <row r="4" spans="1:6" x14ac:dyDescent="0.2">
      <c r="A4" s="27" t="str">
        <f>CONCATENATE("Scenario: ",'Control Panel'!C4,"| Model Version: ",'Control Panel'!C11)</f>
        <v>Scenario: Upside| Model Version: v1.0</v>
      </c>
    </row>
    <row r="6" spans="1:6" x14ac:dyDescent="0.2">
      <c r="A6" s="18" t="s">
        <v>262</v>
      </c>
      <c r="B6" s="26" t="s">
        <v>13</v>
      </c>
      <c r="C6" s="26" t="s">
        <v>14</v>
      </c>
      <c r="D6" s="26" t="s">
        <v>15</v>
      </c>
      <c r="E6" s="26" t="s">
        <v>16</v>
      </c>
      <c r="F6" s="26" t="s">
        <v>17</v>
      </c>
    </row>
    <row r="7" spans="1:6" x14ac:dyDescent="0.2">
      <c r="A7" s="3" t="s">
        <v>263</v>
      </c>
      <c r="B7" s="10">
        <f>'P&amp;L'!B5</f>
        <v>49950000</v>
      </c>
      <c r="C7" s="10">
        <f>'P&amp;L'!C5</f>
        <v>52991955</v>
      </c>
      <c r="D7" s="10">
        <f>'P&amp;L'!D5</f>
        <v>52478718.749999985</v>
      </c>
      <c r="E7" s="10">
        <f>'P&amp;L'!E5</f>
        <v>56489424.030000001</v>
      </c>
      <c r="F7" s="10">
        <f>'P&amp;L'!F5</f>
        <v>57901659.630749986</v>
      </c>
    </row>
    <row r="8" spans="1:6" x14ac:dyDescent="0.2">
      <c r="A8" s="3" t="s">
        <v>184</v>
      </c>
      <c r="B8" s="13">
        <f>'P&amp;L'!B8</f>
        <v>0.31</v>
      </c>
      <c r="C8" s="13">
        <f>'P&amp;L'!C8</f>
        <v>0.32</v>
      </c>
      <c r="D8" s="13">
        <f>'P&amp;L'!D8</f>
        <v>0.31000000000000011</v>
      </c>
      <c r="E8" s="13">
        <f>'P&amp;L'!E8</f>
        <v>0.32499999999999996</v>
      </c>
      <c r="F8" s="13">
        <f>'P&amp;L'!F8</f>
        <v>0.33500000000000002</v>
      </c>
    </row>
    <row r="9" spans="1:6" x14ac:dyDescent="0.2">
      <c r="A9" s="3" t="s">
        <v>189</v>
      </c>
      <c r="B9" s="13">
        <f>'P&amp;L'!B13</f>
        <v>0.16229229229229231</v>
      </c>
      <c r="C9" s="13">
        <f>'P&amp;L'!C13</f>
        <v>0.16573192289282404</v>
      </c>
      <c r="D9" s="13">
        <f>'P&amp;L'!D13</f>
        <v>0.15301276886642745</v>
      </c>
      <c r="E9" s="13">
        <f>'P&amp;L'!E13</f>
        <v>0.16624187959081937</v>
      </c>
      <c r="F9" s="13">
        <f>'P&amp;L'!F13</f>
        <v>0.16662847956826826</v>
      </c>
    </row>
    <row r="10" spans="1:6" x14ac:dyDescent="0.2">
      <c r="A10" s="3" t="s">
        <v>197</v>
      </c>
      <c r="B10" s="13">
        <f>'P&amp;L'!B21</f>
        <v>0.11871621621621621</v>
      </c>
      <c r="C10" s="13">
        <f>'P&amp;L'!C21</f>
        <v>0.11851827668239732</v>
      </c>
      <c r="D10" s="13">
        <f>'P&amp;L'!D21</f>
        <v>0.10889192196429785</v>
      </c>
      <c r="E10" s="13">
        <f>'P&amp;L'!E21</f>
        <v>0.11623003561106687</v>
      </c>
      <c r="F10" s="13">
        <f>'P&amp;L'!F21</f>
        <v>0.11036307382129647</v>
      </c>
    </row>
    <row r="11" spans="1:6" x14ac:dyDescent="0.2">
      <c r="A11" s="3" t="s">
        <v>264</v>
      </c>
      <c r="B11" s="12">
        <f>'P&amp;L'!B20</f>
        <v>5929875</v>
      </c>
      <c r="C11" s="12">
        <f>'P&amp;L'!C20</f>
        <v>6280515.1846311484</v>
      </c>
      <c r="D11" s="12">
        <f>'P&amp;L'!D20</f>
        <v>5714508.5469113328</v>
      </c>
      <c r="E11" s="12">
        <f>'P&amp;L'!E20</f>
        <v>6565767.7666555569</v>
      </c>
      <c r="F11" s="12">
        <f>'P&amp;L'!F20</f>
        <v>6390205.1362040425</v>
      </c>
    </row>
    <row r="12" spans="1:6" x14ac:dyDescent="0.2">
      <c r="A12" s="3" t="s">
        <v>265</v>
      </c>
      <c r="B12" s="16">
        <f>CapEx!B16</f>
        <v>3.5035035035035036E-2</v>
      </c>
      <c r="C12" s="16">
        <f>CapEx!C16</f>
        <v>3.4160220576589399E-2</v>
      </c>
      <c r="D12" s="16">
        <f>CapEx!D16</f>
        <v>3.5159326556004733E-2</v>
      </c>
      <c r="E12" s="16">
        <f>CapEx!E16</f>
        <v>3.5763604873238035E-2</v>
      </c>
      <c r="F12" s="16">
        <f>CapEx!F16</f>
        <v>8.1013348296248358E-2</v>
      </c>
    </row>
    <row r="13" spans="1:6" x14ac:dyDescent="0.2">
      <c r="A13" s="3" t="s">
        <v>125</v>
      </c>
      <c r="B13" s="3">
        <f>CapEx!B18</f>
        <v>0.90476190476190477</v>
      </c>
      <c r="C13" s="3">
        <f>CapEx!C18</f>
        <v>0.89884821933295644</v>
      </c>
      <c r="D13" s="3">
        <f>CapEx!D18</f>
        <v>0.94591316716250529</v>
      </c>
      <c r="E13" s="3">
        <f>CapEx!E18</f>
        <v>0.94194674684257818</v>
      </c>
      <c r="F13" s="3">
        <f>CapEx!F18</f>
        <v>0.93190678647467051</v>
      </c>
    </row>
    <row r="14" spans="1:6" x14ac:dyDescent="0.2">
      <c r="A14" s="3" t="s">
        <v>219</v>
      </c>
      <c r="B14" s="3">
        <f>Working_Capital!B15</f>
        <v>68</v>
      </c>
      <c r="C14" s="3">
        <f>Working_Capital!C15</f>
        <v>64</v>
      </c>
      <c r="D14" s="3">
        <f>Working_Capital!D15</f>
        <v>69</v>
      </c>
      <c r="E14" s="3">
        <f>Working_Capital!E15</f>
        <v>62</v>
      </c>
      <c r="F14" s="3">
        <f>Working_Capital!F15</f>
        <v>60</v>
      </c>
    </row>
    <row r="15" spans="1:6" x14ac:dyDescent="0.2">
      <c r="A15" s="3" t="s">
        <v>266</v>
      </c>
      <c r="B15" s="13">
        <f>Sourcing_Model!B19</f>
        <v>0.89921386817173954</v>
      </c>
      <c r="C15" s="13">
        <f>Sourcing_Model!C19</f>
        <v>0.8999544236818996</v>
      </c>
      <c r="D15" s="13">
        <f>Sourcing_Model!C19</f>
        <v>0.8999544236818996</v>
      </c>
      <c r="E15" s="13">
        <f>Sourcing_Model!D19</f>
        <v>0.90172312127366827</v>
      </c>
      <c r="F15" s="13">
        <f>Sourcing_Model!E19</f>
        <v>0.90305171652321925</v>
      </c>
    </row>
    <row r="16" spans="1:6" x14ac:dyDescent="0.2">
      <c r="A16" s="3" t="s">
        <v>267</v>
      </c>
      <c r="B16" s="12">
        <f>Cash_Flow!B21</f>
        <v>6379875</v>
      </c>
      <c r="C16" s="12">
        <f>Cash_Flow!C21</f>
        <v>11213957.187967479</v>
      </c>
      <c r="D16" s="12">
        <f>Cash_Flow!D21</f>
        <v>10087908.97042425</v>
      </c>
      <c r="E16" s="12">
        <f>Cash_Flow!E21</f>
        <v>15508494.500989828</v>
      </c>
      <c r="F16" s="12">
        <f>Cash_Flow!F21</f>
        <v>18405425.536254883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350E-900C-4827-84D0-17B0E243CF0A}">
  <dimension ref="A1:G14"/>
  <sheetViews>
    <sheetView zoomScale="120" zoomScaleNormal="120" workbookViewId="0">
      <selection activeCell="A11" sqref="A11"/>
    </sheetView>
  </sheetViews>
  <sheetFormatPr baseColWidth="10" defaultColWidth="8.83203125" defaultRowHeight="15" x14ac:dyDescent="0.2"/>
  <cols>
    <col min="1" max="1" width="48.5" style="3" bestFit="1" customWidth="1"/>
    <col min="2" max="2" width="15.33203125" style="3" bestFit="1" customWidth="1"/>
    <col min="3" max="6" width="15.1640625" style="3" bestFit="1" customWidth="1"/>
    <col min="7" max="7" width="31.5" style="3" bestFit="1" customWidth="1"/>
    <col min="8" max="16384" width="8.83203125" style="3"/>
  </cols>
  <sheetData>
    <row r="1" spans="1:7" ht="21" x14ac:dyDescent="0.25">
      <c r="A1" s="17" t="s">
        <v>0</v>
      </c>
    </row>
    <row r="2" spans="1:7" x14ac:dyDescent="0.2">
      <c r="A2" s="110" t="s">
        <v>276</v>
      </c>
    </row>
    <row r="4" spans="1:7" x14ac:dyDescent="0.2">
      <c r="A4" s="102" t="s">
        <v>268</v>
      </c>
      <c r="B4" s="103" t="s">
        <v>13</v>
      </c>
      <c r="C4" s="103" t="s">
        <v>14</v>
      </c>
      <c r="D4" s="103" t="s">
        <v>15</v>
      </c>
      <c r="E4" s="103" t="s">
        <v>16</v>
      </c>
      <c r="F4" s="103" t="s">
        <v>17</v>
      </c>
      <c r="G4" s="103" t="s">
        <v>277</v>
      </c>
    </row>
    <row r="5" spans="1:7" x14ac:dyDescent="0.2">
      <c r="A5" s="3" t="s">
        <v>269</v>
      </c>
      <c r="B5" s="3">
        <f>ROUND('P&amp;L'!B8-Assumptions!C8,4)</f>
        <v>0</v>
      </c>
      <c r="C5" s="3">
        <f>ROUND('P&amp;L'!C8-Assumptions!D8,4)</f>
        <v>0</v>
      </c>
      <c r="D5" s="3">
        <f>ROUND('P&amp;L'!D8-Assumptions!E8,4)</f>
        <v>0</v>
      </c>
      <c r="E5" s="3">
        <f>ROUND('P&amp;L'!E8-Assumptions!F8,4)</f>
        <v>0</v>
      </c>
      <c r="F5" s="3">
        <f>ROUND('P&amp;L'!F8-Assumptions!G8,4)</f>
        <v>0</v>
      </c>
      <c r="G5" s="25" t="str">
        <f>IF(COUNTIF(B5:F5,0)=5,"OK","CHECK")</f>
        <v>OK</v>
      </c>
    </row>
    <row r="6" spans="1:7" x14ac:dyDescent="0.2">
      <c r="A6" s="3" t="s">
        <v>270</v>
      </c>
      <c r="B6" s="13">
        <f>Manufacturing_OH!C15</f>
        <v>0.90476190476190477</v>
      </c>
      <c r="C6" s="13">
        <f>Manufacturing_OH!D15</f>
        <v>0.89884821933295644</v>
      </c>
      <c r="D6" s="13">
        <f>Manufacturing_OH!E15</f>
        <v>0.94591316716250529</v>
      </c>
      <c r="E6" s="13">
        <f>Manufacturing_OH!F15</f>
        <v>0.94194674684257818</v>
      </c>
      <c r="F6" s="13">
        <f>Manufacturing_OH!G15</f>
        <v>0.93190678647467051</v>
      </c>
      <c r="G6" s="25" t="str">
        <f>IF(COUNTIF(B6:F6,"&gt;1")=0,"OK","CHECK")</f>
        <v>OK</v>
      </c>
    </row>
    <row r="7" spans="1:7" x14ac:dyDescent="0.2">
      <c r="A7" s="3" t="s">
        <v>271</v>
      </c>
      <c r="B7" s="10">
        <f>MIN(Working_Capital!B5:B7)</f>
        <v>3965893.1506849313</v>
      </c>
      <c r="C7" s="10">
        <f>MIN(Working_Capital!C5:C7)</f>
        <v>4245163.7375342464</v>
      </c>
      <c r="D7" s="10">
        <f>MIN(Working_Capital!D5:D7)</f>
        <v>4365079.181506848</v>
      </c>
      <c r="E7" s="10">
        <f>MIN(Working_Capital!E5:E7)</f>
        <v>4492069.9519746583</v>
      </c>
      <c r="F7" s="10">
        <f>MIN(Working_Capital!F5:F7)</f>
        <v>4430666.7218817724</v>
      </c>
      <c r="G7" s="25" t="str">
        <f>IF(COUNTIF(B7:F7,"&lt;0")=0,"OK","CHECK: Negative Balance")</f>
        <v>OK</v>
      </c>
    </row>
    <row r="8" spans="1:7" x14ac:dyDescent="0.2">
      <c r="A8" s="3" t="s">
        <v>272</v>
      </c>
      <c r="B8" s="10">
        <f>Cash_Flow!B21</f>
        <v>6379875</v>
      </c>
      <c r="C8" s="10">
        <f>Cash_Flow!C21</f>
        <v>11213957.187967479</v>
      </c>
      <c r="D8" s="10">
        <f>Cash_Flow!D21</f>
        <v>10087908.97042425</v>
      </c>
      <c r="E8" s="10">
        <f>Cash_Flow!E21</f>
        <v>15508494.500989828</v>
      </c>
      <c r="F8" s="10">
        <f>Cash_Flow!F21</f>
        <v>18405425.536254883</v>
      </c>
      <c r="G8" s="25" t="str">
        <f>IF(COUNTIF(B8:F8,"&lt;0")=0,"OK","CHECK: Cash Shortfall")</f>
        <v>OK</v>
      </c>
    </row>
    <row r="9" spans="1:7" x14ac:dyDescent="0.2">
      <c r="A9" s="3" t="s">
        <v>273</v>
      </c>
      <c r="B9" s="10">
        <f>CapEx!B30</f>
        <v>200000</v>
      </c>
      <c r="C9" s="10">
        <f>CapEx!C30</f>
        <v>408438.35382513661</v>
      </c>
      <c r="D9" s="10">
        <f>CapEx!D30</f>
        <v>410569.3332848901</v>
      </c>
      <c r="E9" s="10">
        <f>CapEx!E30</f>
        <v>636551.00554259005</v>
      </c>
      <c r="F9" s="10">
        <f>CapEx!F30</f>
        <v>1127791.9938125238</v>
      </c>
      <c r="G9" s="25" t="str">
        <f>IF(COUNTIF(B9:F9,"&lt;0")=0,"OK","CHECK")</f>
        <v>OK</v>
      </c>
    </row>
    <row r="10" spans="1:7" x14ac:dyDescent="0.2">
      <c r="A10" s="3" t="s">
        <v>274</v>
      </c>
      <c r="B10" s="3">
        <f>ROUND(Variance_Drivers!B8+Variance_Drivers!C8+Variance_Drivers!D8-Variance_Drivers!E8,0)</f>
        <v>0</v>
      </c>
      <c r="G10" s="25" t="str">
        <f>IF(B10=0,"OK","CHECK")</f>
        <v>OK</v>
      </c>
    </row>
    <row r="11" spans="1:7" x14ac:dyDescent="0.2">
      <c r="A11" s="71" t="s">
        <v>275</v>
      </c>
      <c r="B11" s="85">
        <f>'P&amp;L'!B28</f>
        <v>-26936520</v>
      </c>
      <c r="C11" s="85">
        <f>'P&amp;L'!C28</f>
        <v>-28097331.092</v>
      </c>
      <c r="D11" s="85">
        <f>'P&amp;L'!D28</f>
        <v>-28813972.493183762</v>
      </c>
      <c r="E11" s="85">
        <f>'P&amp;L'!E28</f>
        <v>-29280199.065156884</v>
      </c>
      <c r="F11" s="85">
        <f>'P&amp;L'!F28</f>
        <v>-29048885.419986822</v>
      </c>
      <c r="G11" s="111" t="s">
        <v>278</v>
      </c>
    </row>
    <row r="13" spans="1:7" ht="15" customHeight="1" x14ac:dyDescent="0.2">
      <c r="A13" s="123" t="s">
        <v>279</v>
      </c>
      <c r="B13" s="123"/>
      <c r="C13" s="123"/>
      <c r="D13" s="123"/>
      <c r="E13" s="123"/>
      <c r="F13" s="123"/>
      <c r="G13" s="123"/>
    </row>
    <row r="14" spans="1:7" x14ac:dyDescent="0.2">
      <c r="A14" s="123"/>
      <c r="B14" s="123"/>
      <c r="C14" s="123"/>
      <c r="D14" s="123"/>
      <c r="E14" s="123"/>
      <c r="F14" s="123"/>
      <c r="G14" s="123"/>
    </row>
  </sheetData>
  <mergeCells count="1"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Cover</vt:lpstr>
      <vt:lpstr>Dashboard</vt:lpstr>
      <vt:lpstr>Control Panel</vt:lpstr>
      <vt:lpstr>Historical_Actuals</vt:lpstr>
      <vt:lpstr>Assumptions</vt:lpstr>
      <vt:lpstr>FX_Assumptions</vt:lpstr>
      <vt:lpstr>Revenue_Model</vt:lpstr>
      <vt:lpstr>Production_Model</vt:lpstr>
      <vt:lpstr>Sourcing_Model</vt:lpstr>
      <vt:lpstr>Direct_Labor</vt:lpstr>
      <vt:lpstr>Manufacturing_OH</vt:lpstr>
      <vt:lpstr>Headcount</vt:lpstr>
      <vt:lpstr>OpEx</vt:lpstr>
      <vt:lpstr>CapEx</vt:lpstr>
      <vt:lpstr>Working_Capital</vt:lpstr>
      <vt:lpstr>P&amp;L</vt:lpstr>
      <vt:lpstr>Cash_Flow</vt:lpstr>
      <vt:lpstr>Budget_vs_Actual</vt:lpstr>
      <vt:lpstr>Forecast</vt:lpstr>
      <vt:lpstr>Scenario_Analysis</vt:lpstr>
      <vt:lpstr>Variance_Drivers</vt:lpstr>
      <vt:lpstr>Management_Dashboard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Manasi Gawade</cp:lastModifiedBy>
  <cp:revision/>
  <dcterms:created xsi:type="dcterms:W3CDTF">2026-08-21T01:50:35Z</dcterms:created>
  <dcterms:modified xsi:type="dcterms:W3CDTF">2026-10-06T20:09:42Z</dcterms:modified>
  <cp:category/>
  <cp:contentStatus/>
</cp:coreProperties>
</file>